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_adminchat" sheetId="1" r:id="rId4"/>
    <sheet state="visible" name="benchmarks"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sometimes other organisations also crawl eth websites. might be interesting </t>
      </text>
    </comment>
    <comment authorId="0" ref="J1">
      <text>
        <t xml:space="preserve">tells you which warc files have this website</t>
      </text>
    </comment>
    <comment authorId="0" ref="K1">
      <text>
        <t xml:space="preserve">sometimes other organisations also crawl eth websites. might be interesting </t>
      </text>
    </comment>
    <comment authorId="0" ref="M1">
      <text>
        <t xml:space="preserve">tells you which warc files have this website</t>
      </text>
    </comment>
  </commentList>
</comments>
</file>

<file path=xl/sharedStrings.xml><?xml version="1.0" encoding="utf-8"?>
<sst xmlns="http://schemas.openxmlformats.org/spreadsheetml/2006/main" count="709" uniqueCount="344">
  <si>
    <t>question</t>
  </si>
  <si>
    <t>lang</t>
  </si>
  <si>
    <t>relevant_doc_1</t>
  </si>
  <si>
    <t>relevant_doc_2</t>
  </si>
  <si>
    <t>answer</t>
  </si>
  <si>
    <t>generated_via</t>
  </si>
  <si>
    <t>notes</t>
  </si>
  <si>
    <t>wayback_link_all_doc1</t>
  </si>
  <si>
    <t>wayback_link_eth_doc1</t>
  </si>
  <si>
    <t>wayback_link_timemap_doc1</t>
  </si>
  <si>
    <t>wayback_link_all_doc2</t>
  </si>
  <si>
    <t>wayback_link_eth_doc2</t>
  </si>
  <si>
    <t>wayback_link_timemap_doc2</t>
  </si>
  <si>
    <t>Wo erfasse ich meine Ferien?</t>
  </si>
  <si>
    <t>de</t>
  </si>
  <si>
    <t>https://ethz.ch/staffnet/de/anstellung-und-arbeit/rund-um-die-anstellung/arbeitszeiten/zeit-und-abwesenheitserfassung.html</t>
  </si>
  <si>
    <t>https://ethz.ch/content/dam/ethz/associates/services/Anstellung-Arbeiten/Downloads/files/rechtliches/Reglement_zur_Erfassung_der_Arbeitszeit_und_Abwesenheiten.pdf</t>
  </si>
  <si>
    <t>Du erfasst deine Ferien im ETHIS-Portal (ETH Information and Support System). Dort findest du unter „Meine Daten &gt; Zeiterfassung &gt; Zeiterfassungsblatt“ die Möglichkeit, deine An- und Abwesenheiten sowie Abwesenheitsarten (z. B. Ferien, unbezahlter Urlaub) einzutragen</t>
  </si>
  <si>
    <t>GR</t>
  </si>
  <si>
    <t>Wo erfasse ich meine Arbeitszeit?</t>
  </si>
  <si>
    <t>Du erfasst deine Arbeitszeit im ETHIS-Portal (ETH Information and Support System). Dort findest du unter „Meine Daten &gt; Zeiterfassung &gt; Zeiterfassungsblatt“ die Möglichkeit, deine An- und Abwesenheiten sowie Abwesenheitsarten (z. B. Ferien, unbezahlter Urlaub) einzutragen.</t>
  </si>
  <si>
    <t>Muss ich unbezahlten Urlaub erfassen?</t>
  </si>
  <si>
    <t>Ja, unbezahlter Urlaub sollte erfasst werden.</t>
  </si>
  <si>
    <t>How do I access the Web Print service for staff at ETH Zurich?</t>
  </si>
  <si>
    <t>en</t>
  </si>
  <si>
    <t>https://unlimited.ethz.ch/en/help/printing/manuals-and-documentation/instructions-print-service-staff/webprint</t>
  </si>
  <si>
    <t>You can access the Web Print service via the following web address: webprint-staff.ethz.ch. You must be connected to the ETH network or use the VPN if you are outside the ETH network</t>
  </si>
  <si>
    <t>mistral</t>
  </si>
  <si>
    <t>https://wayback.archive-it.org/all/*/https://unlimited.ethz.ch/display/itkb/Printing+service+for+employees</t>
  </si>
  <si>
    <t>https://wayback.archive-it.org/18167/*/https://unlimited.ethz.ch/display/itkb/Printing+service+for+employees</t>
  </si>
  <si>
    <t>https://wayback.archive-it.org/18167/timemap/cdx?url=https://unlimited.ethz.ch/display/itkb/Printing+service+for+employees</t>
  </si>
  <si>
    <t>What file types can I upload to the Web Print service?</t>
  </si>
  <si>
    <t>Currently, you can upload PDF, HTML, EML, PostScript, TXT document files and JPEG, PNG, GIF, TIFF, BMP, PWG, URF graphic files to the Web Print service for printing.</t>
  </si>
  <si>
    <t>mistral, GR</t>
  </si>
  <si>
    <t>How long are my uploaded files stored on the Web Print server?</t>
  </si>
  <si>
    <t>Uploaded files that are not processed further will be automatically deleted from the server after 24 hours</t>
  </si>
  <si>
    <t>Do I need to be on the ETH network to use the Web Print service?</t>
  </si>
  <si>
    <t>Yes, the Web Print Portal can only be reached via the ETH Zurich intranet. If you are outside the ETH network, you must use the VPN service</t>
  </si>
  <si>
    <t>Can I chose the printer?</t>
  </si>
  <si>
    <t>You do not choose a specific physical printer at the time of upload; instead, you send your job to the CARD-ETHZ queue and release it at your preferred printer later</t>
  </si>
  <si>
    <t>Where are the printers?</t>
  </si>
  <si>
    <t>https://ethz.ch/staffnet/en/it-services/catalogue/printing/self-service/printer-locations.html#/</t>
  </si>
  <si>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</si>
  <si>
    <t>Wie beantrage ich Kinderzulagen?</t>
  </si>
  <si>
    <t>https://ethz.ch/staffnet/de/anstellung-und-arbeit/rund-um-die-anstellung/lohn/familienzulagen.html</t>
  </si>
  <si>
    <t>Die Familienzulagen werden ausschliesslich über das ETHIS-Portal beantragt (Meine Daten &gt; Familie &gt; Familienzulagen beantragen)</t>
  </si>
  <si>
    <t>Was sind die offiziellen ETH Farben?</t>
  </si>
  <si>
    <t>https://ethz.ch/staffnet/de/service/kommunikation/corporate-design/farbe.html</t>
  </si>
  <si>
    <t>Die offizielle Hauptfarbe der ETH Zürich ist ETH-Blau mit dem HEX-Code #215CAF (RGB 33, 92, 175). Zusätzlich gibt es sechs Corporate-Design-Farben für digitale Medien und Drucksachen, darunter ETH-Petrol, ETH-Rot, ETH-Grün, ETH-Bronze, ETH-Purpur und ETH-Grau.</t>
  </si>
  <si>
    <t>interestingly, mistral failed misarebly with this question, even when I gave it the actual website with the RGB/Hex codes it still hallucinated.</t>
  </si>
  <si>
    <t>What is the ETH Zürich PowerPoint template?</t>
  </si>
  <si>
    <t>https://ethz.ch/staffnet/en/service/communication/corporate-design/templates.html</t>
  </si>
  <si>
    <t>https://ethz.ch/content/dam/ethz/associates/services/Service/kommunikation/cd/template-downloadbereich/ETH-Praesentation-Template.zip</t>
  </si>
  <si>
    <t>You'll find the official ETH Zürich PowerPoint-Template here: https://ethz.ch/staffnet/en/service/communication/corporate-design/templates.html</t>
  </si>
  <si>
    <t>for some reason, mistral answered in German...</t>
  </si>
  <si>
    <t>Wo kann ich IT-Probleme melden oder Unterstützung anfordern?</t>
  </si>
  <si>
    <t>https://ethz.ch/staffnet/en/it-services/documents/useful-links.html</t>
  </si>
  <si>
    <t>Das kommt darauf an, um was für ein IT Problem es sich handelt. Hier: https://ethz.ch/staffnet/en/it-services/documents/useful-links.html findest du verschiedene Anlaufstellen basierend auf deinem Problem.</t>
  </si>
  <si>
    <t>We seem to have our own chatbot for it, it works remarkably poorly. But to be fair, Mistral also failed wholly at IT Service based questions.</t>
  </si>
  <si>
    <t>Wie kann ich mein ETH-Passwort ändern oder meine Benutzerdaten bearbeiten?</t>
  </si>
  <si>
    <t>Passwort ändern und Benutzerdaten bearbeiten kannst du im Web Center: https://www.passwort.ethz.ch/authentication/login_en.html</t>
  </si>
  <si>
    <t>Wo kann ich Software-Lizenzen beziehen oder Software herunterladen?</t>
  </si>
  <si>
    <t>https://www.isg.inf.ethz.ch/Main/HelpSoftware</t>
  </si>
  <si>
    <t>Software-Lizenzen und Downloads gibt es im IT Shop: https://itshop.ethz.ch/</t>
  </si>
  <si>
    <t>Wie richte ich das VPN ein?</t>
  </si>
  <si>
    <t>https://ethz.ch/staffnet/de/it-services/katalog.html#/detail/282</t>
  </si>
  <si>
    <t>https://unlimited.ethz.ch/help/network/vpn</t>
  </si>
  <si>
    <r>
      <rPr/>
      <t xml:space="preserve">Lade den Cisco AnyConnect Client von der </t>
    </r>
    <r>
      <rPr>
        <color rgb="FF1155CC"/>
        <u/>
      </rPr>
      <t>ETH IT-Seite</t>
    </r>
    <r>
      <rPr/>
      <t xml:space="preserve"> herunter, installiere ihn und verbinde dich mit dem Server sslvpn.ethz.ch/staff-net mit deinem staffnet nethz-Login.</t>
    </r>
  </si>
  <si>
    <t>Mistral failed pretty badly at this, started mixing German an English words in the same sentence "melde dich an using deinem ethz-Login"</t>
  </si>
  <si>
    <t>https://wayback.archive-it.org/all/*/https://unlimited.ethz.ch/display/itwdb/VPN</t>
  </si>
  <si>
    <t>https://wayback.archive-it.org/18167/*/https://unlimited.ethz.ch/display/itwdb/VPN</t>
  </si>
  <si>
    <t>https://wayback.archive-it.org/18167/timemap/cdx?url=https://unlimited.ethz.ch/display/itwdb/VPN</t>
  </si>
  <si>
    <t>What public transport benefits do ETH Zurich employees receive?</t>
  </si>
  <si>
    <t>https://ethz.ch/staffnet/en/employment-and-work/employment/offers-and-benefits.html</t>
  </si>
  <si>
    <t>Employees with at least 50% employment for six months are entitled to a free Half-Fare travelcard or a 25% contribution towards a GA travelcard.</t>
  </si>
  <si>
    <t>How do I sign up for a parking space?</t>
  </si>
  <si>
    <t>https://ethz.ch/staffnet/en/service/mobility/parkierung.html</t>
  </si>
  <si>
    <t>Fill out the application form online here: https://logistik-helpcenter.ethz.ch/hc/en-gb/categories/5275630464668-Parking-at-ETH-Zurich and send the completed form to: verkehrsmanagement@services.ethz.ch</t>
  </si>
  <si>
    <t>Was ist die durchschnittliche Wochenarbeitszeit für Vollzeitmitarbeitende an der ETH Zürich?</t>
  </si>
  <si>
    <t>https://ethz.ch/content/dam/ethz/associates/services/Anstellung-Arbeiten/Downloads/files/infos/Merkblatt_Einheitliche_Umsetzung_Arbeitszeit.pdf</t>
  </si>
  <si>
    <t>https://ethz.ch/staffnet/de/anstellung-und-arbeit/rund-um-die-anstellung/arbeitszeiten/einheitliche-umsetzung-arbeitszeit.html</t>
  </si>
  <si>
    <t>Die durchschnittliche Wochenarbeitszeit beträgt 41 Stunden für Vollzeitmitarbeitende. Für Teilzeitmitarbeitende entspricht sie dem vereinbarten Beschäftigungsgrad.</t>
  </si>
  <si>
    <r>
      <rPr/>
      <t xml:space="preserve">NOTE: I added a lot of questions from this file because it seemed particularly relevant. I stuck to German, but these questions could be translated, the English file is here: </t>
    </r>
    <r>
      <rPr>
        <color rgb="FF1155CC"/>
        <u/>
      </rPr>
      <t>https://ethz.ch/content/dam/ethz/associates/services/Anstellung-Arbeiten/Downloads/files/infos/Information_sheet_Uniform_implementation_working_hours.pdf</t>
    </r>
  </si>
  <si>
    <t>Was ist der Unterschied zwischen Überstunden und Überzeit?</t>
  </si>
  <si>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</si>
  <si>
    <t>Wie werden Überstunden und Überzeit kompensiert?</t>
  </si>
  <si>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</si>
  <si>
    <t>Wie viele Plusstunden oder Minusstunden darf ich im Jahr haben?</t>
  </si>
  <si>
    <t>Mitarbeitende sollen während des Jahres einen maximalen Zeitsaldo von 50 Plusstunden oder 20 Minusstunden einhalten. Bei Abweichungen müssen Massnahmen mit der vorgesetzten Person vereinbart werden.</t>
  </si>
  <si>
    <t>I refromulated the question. This makes it more natural (closer to what employees would ask) but more difficult for the model to answer. original q: Welche Vorgaben gibt es für den Zeitsaldo während des Jahres?</t>
  </si>
  <si>
    <t>Wie früh darf ich anfangen zu arbeiten oder wie spät darf ich bleiben?</t>
  </si>
  <si>
    <t>Die Tagesarbeitszeit dauert von 6 bis 20 Uhr. Abweichungen können aufgrund betrieblicher Bedürfnisse vereinbart werden.</t>
  </si>
  <si>
    <t>I refromulated the question. This makes it more natural (closer to what employees would ask) but more difficult for the model to answer. original q: Wann beginnt und endet die Tagesarbeitszeit an der ETH Zürich?</t>
  </si>
  <si>
    <t>Wie sieht es aus mit remote work?</t>
  </si>
  <si>
    <t>Standortunabhängiges Arbeiten in der Schweiz ist grundsätzlich möglich, sofern die Aufgaben, Arbeitsumgebung und -organisation dies zulassen. Eine mündliche oder schriftliche Vereinbarung mit der vorgesetzten Person ist erforderlich.</t>
  </si>
  <si>
    <t>I refromulated the question. This makes it more natural (closer to what employees would ask) but more difficult for the model to answer. original q: Ist standortunabhängiges Arbeiten in der Schweiz möglich?</t>
  </si>
  <si>
    <t>Gibt es Vorgaben zum Ferienbezug?</t>
  </si>
  <si>
    <t>Mindestens zwei Wochen Ferien müssen pro Jahr zusammenhängend bezogen werden.</t>
  </si>
  <si>
    <t>I refromulated the question. This makes it more natural (closer to what employees would ask) but more difficult for the model to answer. original q: Wie viele Wochen Ferien müssen pro Jahr zusammenhängend bezogen werden?</t>
  </si>
  <si>
    <t>Können Ferien ins Folgejahr übertragen werden?</t>
  </si>
  <si>
    <t>Ja, maximal zwei Wochen (bei 100% Pensum) können ins Folgejahr übertragen werden. Der Ferienübertrag muss bis zum 31. März des Folgejahres bezogen werden.</t>
  </si>
  <si>
    <t>Können Ferien während des laufenden Arbeitsverhältnisses ausbezahlt werden?</t>
  </si>
  <si>
    <t>Nein, Ferien können während des laufenden Arbeitsverhältnisses nicht ausbezahlt werden.</t>
  </si>
  <si>
    <t>Wie lange kann unbezahlter Urlaub maximal dauern?</t>
  </si>
  <si>
    <t>Unbezahlter Urlaub kann maximal ein Jahr dauern. Die Minimaldauer beträgt eine Woche.</t>
  </si>
  <si>
    <t>Wie viel Pause wird pro Tag bezahlt?</t>
  </si>
  <si>
    <t>Bei einer Arbeitszeit von 4 Stunden besteht Anspruch auf 15 Minuten bezahlte Pause.</t>
  </si>
  <si>
    <t>I refromulated the question. This makes it more natural (closer to what employees would ask) but more difficult for the model to answer. original q: Wie lange dauert die bezahlte Pause bei einer Arbeitszeit von 4 Stunden?</t>
  </si>
  <si>
    <t>Wie lange muss die Mittagspause dauern?</t>
  </si>
  <si>
    <t>Die Arbeit muss über Mittag für mindestens 30 Minuten unterbrochen werden. Diese Unterbrechung gilt nicht als Arbeitszeit.</t>
  </si>
  <si>
    <t>Ist bei Dienstreisen der Weg auch bezahlt?</t>
  </si>
  <si>
    <t>Bei Dienstreisen im Inland gelten Reisezeiten zwischen Arbeits- und Zielort sowie der Einsatz am Zielort als Arbeitszeit.</t>
  </si>
  <si>
    <t>I refromulated the question. This makes it more natural (closer to what employees would ask) but more difficult for the model to answer. original q: Was gilt als Arbeitszeit bei Dienstreisen im Inland?</t>
  </si>
  <si>
    <t>Wie werden die Brückentage zwischen Weihnachten und Neujahr geregelt?</t>
  </si>
  <si>
    <t>Die ETH Zürich ist an diesen Tagen geschlossen. Mitarbeitende können Ferientage verwenden oder die Tage kompensieren. Je nach betrieblichen Bedürfnissen kann eine Anwesenheit angeordnet werden.</t>
  </si>
  <si>
    <t>Gilt ein Businesslunch mit ETH-externen Gästen als Arbeitszeit?</t>
  </si>
  <si>
    <t>Ja, ein Businesslunch mit ETH-externen Gästen, an dem Anwesenheit angeordnet ist, gilt als Arbeitszeit. Die Mittagspause von 30 Minuten muss jedoch in der Zeiterfassung ausgewiesen werden.</t>
  </si>
  <si>
    <t>Wie wird die Teilnahme an arbeitsrelevanten Veranstaltungen geregelt?</t>
  </si>
  <si>
    <t>Die Teilnahme an arbeitsrelevanten ETH-externen und -internen Veranstaltungen gilt als Arbeitszeit, solange der offizielle Teil dauert. Die Anrechnung wird mit der vorgesetzten Person abgesprochen.</t>
  </si>
  <si>
    <t>Wie lange dauert der Mutterschaftsurlaub an der ETH Zürich?</t>
  </si>
  <si>
    <t>https://ethz.ch/content/dam/ethz/associates/services/Anstellung-Arbeiten/Downloads/files/infos/Merkblatt_Elternschaft.pdf</t>
  </si>
  <si>
    <t>https://ethz.ch/staffnet/de/anstellung-und-arbeit/rund-um-die-anstellung/arbeitszeiten/mutterschafts-vaterschaftsurlaub.html</t>
  </si>
  <si>
    <t>Bei der Geburt eines Kindes hat die Mitarbeiterin Anspruch auf vier Monate Mutterschaftsurlaub, unabhängig von der Anstellungsdauer.</t>
  </si>
  <si>
    <t>Wann kann der Mutterschaftsurlaub frühestens beginnen?</t>
  </si>
  <si>
    <t>https://ethz.ch/staffnet/de/anstellung-und-arbeit/arbeitsumfeld/familie/mutterschaft/mutterschafts-vaterschaftsurlaub.html</t>
  </si>
  <si>
    <t>Der Mutterschaftsurlaub kann frühestens einen Monat vor dem errechneten Geburtstermin beginnen.</t>
  </si>
  <si>
    <t>there's actually around a dozend different websites that all seem to say the same thing... might be difficult to evaluate retrieval with this set</t>
  </si>
  <si>
    <t>Gibt es Mutterschaftsurlaub bei Adoption?</t>
  </si>
  <si>
    <t>Ja, Eltern, die ein Kind unter sechs Jahren adoptieren, erhalten zwei Monate Mutter- bzw. Vaterschaftsurlaub.</t>
  </si>
  <si>
    <t>Wie lange dauert der Vaterschaftsurlaub an der ETH Zürich?</t>
  </si>
  <si>
    <t>Bei der Geburt eines eigenen Kindes hat der Vater Anspruch auf 20 Tage bezahlten Vaterschaftsurlaub.</t>
  </si>
  <si>
    <t>Können Eltern den Mutterschaftsurlaub untereinander aufteilen?</t>
  </si>
  <si>
    <t>Ja, wenn beide Elternteile im ETH-Bereich beschäftigt sind, kann der viermonatige Mutterschaftsurlaub zwischen den Eltern aufgeteilt werden. Der Vater darf dabei maximal zwei Monate beziehen.</t>
  </si>
  <si>
    <t>What dining areas are available for rent at ETH Zurich’s Zentrum campus for an evening event?</t>
  </si>
  <si>
    <t>https://ethz.ch/staffnet/en/service/rooms-and-buildings/foyers/dining-areas.html</t>
  </si>
  <si>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</si>
  <si>
    <t>https://wayback.archive-it.org/all/*/https://ethz.ch/staffnet/en/service/events/venues.html</t>
  </si>
  <si>
    <t>https://wayback.archive-it.org/19945/*/https://ethz.ch/staffnet/en/service/events/venues.html</t>
  </si>
  <si>
    <t>https://wayback.archive-it.org/19945/timemap/cdx?url=https://ethz.ch/staffnet/en/service/events/venues.html</t>
  </si>
  <si>
    <t>Are there dining areas available for larger events at ETH Zurich’s Hönggerberg campus?</t>
  </si>
  <si>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</si>
  <si>
    <t>What dining area at ETH Zurich is suitable for a medium-sized event with technical equipment?</t>
  </si>
  <si>
    <t>The Octavo restaurant in the OCT building (Oerlikon) is perfect for small to medium-sized events, including presentations and dinners. It can accommodate up to 200 seated and 300 standing and offers technical equipment such as a beamer, microphones, and professional AV equipment.</t>
  </si>
  <si>
    <t>How do I rent the Dozentenfoyer at ETH Zurich for my event?</t>
  </si>
  <si>
    <t>https://ethz.ch/staffnet/en/service/events/dozentenfoyer.html</t>
  </si>
  <si>
    <t>https://ethz.ch/staffnet/en/service/events/dozentenfoyer/abendveranstaltungen.html</t>
  </si>
  <si>
    <t>To rent the Dozentenfoyer, contact the ETH Zurich Campus Services via this request form: https://ethz.ch/staffnet/en/service/events/dozentenfoyer/abendveranstaltungen.html</t>
  </si>
  <si>
    <t>mistral couldn't find / read the request form</t>
  </si>
  <si>
    <t>What should I do if I forget or lose my ETH card?</t>
  </si>
  <si>
    <t>https://ethz.ch/staffnet/en/service/eth-card.html</t>
  </si>
  <si>
    <t>https://ethz.ch/staffnet/en/service/eth-card/replacement-card.html</t>
  </si>
  <si>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</si>
  <si>
    <t>What if I forget my ETH card PIN?</t>
  </si>
  <si>
    <t>https://ethz.ch/staffnet/en/news-and-events/internal-news/archive/2022/01/tips-and-tricks-how-to-deal-with-locked-doors-at-eth.html</t>
  </si>
  <si>
    <r>
      <t xml:space="preserve">If you forget your PIN, you can set a new one or change your existing PIN using this link: </t>
    </r>
    <r>
      <rPr>
        <color rgb="FF1155CC"/>
        <u/>
      </rPr>
      <t>adressen.ethz.ch</t>
    </r>
    <r>
      <rPr/>
      <t>. You do not need to know your old PIN to reset it.</t>
    </r>
  </si>
  <si>
    <t>Wie viel kostet ein ASVZ Abo als Alumni und als Mitarbeiter der ETH?</t>
  </si>
  <si>
    <t>https://ethz.ch/staffnet/en/news-and-events/internal-news/archive/2022/04/asvz-cards-to-increase-in-price.html</t>
  </si>
  <si>
    <t>Ein ASVZ-Abo kostet für Mitarbeitende der ETH (und anderer Zürcher Hochschulen) aktuell CHF 300 pro Jahr. Für Alumni (Absolvent:innen) beträgt der Jahresbeitrag CHF 700. Diese Preise gelten seit der letzten Erhöhung im Jahr 2023.</t>
  </si>
  <si>
    <t>How to I transfer large amounts of data from / to the Euler cluster?</t>
  </si>
  <si>
    <t>https://scicomp.ethz.ch/wiki/FAQ</t>
  </si>
  <si>
    <t>Use rsync or scp for command-line transfers: rsync -av localdir/ username@euler.ethz.ch:remotedir/
scp file.txt username@euler.ethz.ch:~/
For large transfers, consider using the data transfer nodes.</t>
  </si>
  <si>
    <r>
      <rPr/>
      <t xml:space="preserve">should be </t>
    </r>
    <r>
      <rPr>
        <color rgb="FF1155CC"/>
        <u/>
      </rPr>
      <t>https://docs.hpc.ethz.ch/support/faq/#what-is-the-recommended-way-to-transfer-files-fromto-the-cluster</t>
    </r>
    <r>
      <rPr/>
      <t xml:space="preserve"> but these docs are so new they're not archived yet</t>
    </r>
  </si>
  <si>
    <t>Why should I avoid using Conda on the Euler cluster?</t>
  </si>
  <si>
    <t>https://scicomp.ethz.ch/wiki/Conda</t>
  </si>
  <si>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</si>
  <si>
    <t xml:space="preserve">should be https://docs.hpc.ethz.ch/software/package-managers/conda/?h=con and https://docs.csc.fi/support/tutorials/conda/#conda-on-parallel-file-system-such-as-lustre-in-puhti  but these docs are so new they're not archived yet
</t>
  </si>
  <si>
    <t>What are the recommended alternatives to Conda on the Euler cluster?</t>
  </si>
  <si>
    <t>https://scicomp.ethz.ch/wiki/Python</t>
  </si>
  <si>
    <t>ETH Zurich recommends using centrally provided Python installations and virtual environments (venv) that leverage these installations. If you need packages not available centrally, create a virtual environment that can access the centrally installed packages.</t>
  </si>
  <si>
    <t>should be https://docs.hpc.ethz.ch/software/package-managers/conda/?h=con and https://docs.csc.fi/support/tutorials/conda/#conda-on-parallel-file-system-such-as-lustre-in-puhti  but these docs are so new they're not archived yet</t>
  </si>
  <si>
    <t>Auf was für Zeitungen haben ETH Mitarbeiter gratis Zugang über die Bibliothek?</t>
  </si>
  <si>
    <t>https://library.ethz.ch/standorte-und-medien/medientypen/zeitschriften-zeitungen.html</t>
  </si>
  <si>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</si>
  <si>
    <t>Darf ich Bilder aus E-Pics für meine Publikation oder Präsentation verwenden?</t>
  </si>
  <si>
    <t>https://library.ethz.ch/forschen-und-publizieren/datenmanagement-und-policies/e-pics-bildverwaltung.html</t>
  </si>
  <si>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</si>
  <si>
    <t>Wie zitiere ich Bilder aus E-Pics korrekt?</t>
  </si>
  <si>
    <t>Bilder aus E-Pics müssen mit einem vollständigen Bildnachweis zitiert werden. Dieser umfasst in der Regel: Titel des Bildes, Urheber:in oder Fotograf:in, Sammlung, Signatur, E-Pics-URL und das Copyright. Ein Beispiel: „Titel, Fotograf:in, Sammlung, Signatur, © ETH-Bibliothek, URL“</t>
  </si>
  <si>
    <t>List all prime numbers from 1 to 1000.</t>
  </si>
  <si>
    <t>This is not a question specific to the ETH Zürich Staff. Please use other means to obtain an answer.</t>
  </si>
  <si>
    <t>what is the meaning of life?</t>
  </si>
  <si>
    <t>RS</t>
  </si>
  <si>
    <t xml:space="preserve">what ETH events are on tomorrow? </t>
  </si>
  <si>
    <t>https://ethz.ch/en/news-and-events/events.html</t>
  </si>
  <si>
    <r>
      <rPr/>
      <t xml:space="preserve">For ETH events view: </t>
    </r>
    <r>
      <rPr>
        <color rgb="FF1155CC"/>
        <u/>
      </rPr>
      <t>https://ethz.ch/en/news-and-events/events.html</t>
    </r>
  </si>
  <si>
    <t>This is very temporal so no point returning the actual events?</t>
  </si>
  <si>
    <t>how does the ETH family allowance work?</t>
  </si>
  <si>
    <t>https://ethz.ch/staffnet/en/employment-and-work/employment/salary/family-allowance.html</t>
  </si>
  <si>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</si>
  <si>
    <t>OpenAI</t>
  </si>
  <si>
    <t>if I have another child does the family allowance change?</t>
  </si>
  <si>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</si>
  <si>
    <t>does the family allowance count for adopted children?</t>
  </si>
  <si>
    <t>Yes - the allowance at ETH Zurich can be claimed for adopted children.</t>
  </si>
  <si>
    <t>if two people work for ETH, do both claim the family allowance?</t>
  </si>
  <si>
    <t>If both parents work at ETH Zurich, only one parent can claim the family allowance for each child. The entitled person is determined by a priority order - for example, the parent who is gainfully employed or earns the higher AHV-income will generally claim.  ￼</t>
  </si>
  <si>
    <t>what is the policy on taking an extended break from work?</t>
  </si>
  <si>
    <t>https://ethz.ch/staffnet/en/employment-and-work/employment/working-hours/holidays-leave.html</t>
  </si>
  <si>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</si>
  <si>
    <t>do I get paid leave for moving apartment?</t>
  </si>
  <si>
    <t>https://ethz.ch/content/dam/ethz/associates/services/Anstellung-Arbeiten/Downloads/files/rechtliches/Personalverordnung_ETH_Bereich.pdf</t>
  </si>
  <si>
    <t>Yes, ETH employees get 1 day per calendar year to move property.</t>
  </si>
  <si>
    <t>how many days per year do I get paid for moving house?</t>
  </si>
  <si>
    <t>As an employee, 1 day per calendar year.</t>
  </si>
  <si>
    <t>if I get married- how many days paid leave am I allowed?</t>
  </si>
  <si>
    <t>Employees are entitled to receive 6 days paid leave for marriage.</t>
  </si>
  <si>
    <t>I have a family wedding coming up, do I take it as leave/vacation?</t>
  </si>
  <si>
    <t>As an employee, you are entitled to 1 day paid leave for family weddings, it is not required to take it as vacation</t>
  </si>
  <si>
    <t>what are the official ETH holidays?</t>
  </si>
  <si>
    <t>https://ethz.ch/staffnet/en/employment-and-work/employment/working-hours.html</t>
  </si>
  <si>
    <t>ETH Zurich is closed for normal bank holidays e.g Easter and between Christmas and New Year. As the exact dates can change each year review the calendar: https://ethz.ch/staffnet/en/employment-and-work/employment/working-hours.html</t>
  </si>
  <si>
    <t>what are the term start dates?</t>
  </si>
  <si>
    <t>https://ethz.ch/students/en/news/academic-calendar.html</t>
  </si>
  <si>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</si>
  <si>
    <t>do I have to record my working hours? if so where?</t>
  </si>
  <si>
    <t>https://ethz.ch/staffnet/en/employment-and-work/employment/working-hours/recording-working-time-and-absences.html</t>
  </si>
  <si>
    <t>Yes - at ETH Zürich you may need to record your working hours if your personnel category requires it.  You do this in the system ETHIS under My data &gt; Time recording &gt; Time sheet attendances and absences.</t>
  </si>
  <si>
    <t>how do I book time off work?</t>
  </si>
  <si>
    <t>At ETH Zürich you book time off in the time-recording system ETHIS by going to My data &gt; Time recording &gt; Time sheet attendances and absences, and under “Absences” you select the appropriate absence type (holiday, paid leave, etc).</t>
  </si>
  <si>
    <t>what is the Apertus model?</t>
  </si>
  <si>
    <t>what is the contact number for main campus?</t>
  </si>
  <si>
    <t>https://ethz.ch/en/utils/contact.html</t>
  </si>
  <si>
    <t xml:space="preserve"> +41 44 632 11 11</t>
  </si>
  <si>
    <t>where is ETH main building?</t>
  </si>
  <si>
    <t>The main building is at address:
Rämistrasse 101
8092 Zurich
Switzerland</t>
  </si>
  <si>
    <t>where is the ETH AI Center?</t>
  </si>
  <si>
    <t>https://ai.ethz.ch/about-us/how-to-find-us.html</t>
  </si>
  <si>
    <t xml:space="preserve">The ETH AI Center is at:
Andreasstrasse 5
8092 Zürich
</t>
  </si>
  <si>
    <t>where can I find a map of the ETH Hönggerberg campus?</t>
  </si>
  <si>
    <t>https://ethz.ch/de/campus/erreichen/hoenggerberg.html</t>
  </si>
  <si>
    <r>
      <rPr/>
      <t xml:space="preserve">The following link shows a map of the ETH Hönggerberg campus:
</t>
    </r>
    <r>
      <rPr>
        <color rgb="FF1155CC"/>
        <u/>
      </rPr>
      <t>https://ethz.ch/de/campus/erreichen/hoenggerberg.html</t>
    </r>
  </si>
  <si>
    <t>what is the best way to get from ETH main campus to ETH Honggerberg?</t>
  </si>
  <si>
    <t>https://ethz.ch/content/dam/ethz/main/campus/campus-erleben/lernen-arbeiten/anreise-campus-info-hoenggerberg-en.pdf</t>
  </si>
  <si>
    <t>The best way to get from the ETH Zürich Main Campus (Zentrum) to the ETH Hönggerberg Campus is by taking the free shuttle bus called ETH eLink, which runs several times every hour on weekdays, with a frequency of about every 20 minutes.</t>
  </si>
  <si>
    <t>who is president of the university?</t>
  </si>
  <si>
    <t>https://ethz.ch/en/the-eth-zurich/organisation/executive-board/president.html</t>
  </si>
  <si>
    <t>Joël Mesot is the current President of ETH Zurich, a position he has held since January 1, 2019</t>
  </si>
  <si>
    <t>How often should I have a performance evaluation with my supervisor?</t>
  </si>
  <si>
    <t>https://ethz.ch/content/dam/ethz/associates/services/Anstellung-Arbeiten/Downloads/files/rechtliches/Brochure_Personnel_Law.pdf</t>
  </si>
  <si>
    <t>You should have a formal performance evaluation interview at least once a year where your objectives, performance, and development needs are discussed.</t>
  </si>
  <si>
    <t>I feel like these are quite vague and short to the point where more detail would be more useful!</t>
  </si>
  <si>
    <t>What topics are typically covered during the annual performance evaluation interview?</t>
  </si>
  <si>
    <t>The interview covers your objectives, work conditions, development needs, performance assessment, and an opportunity to give feedback to your supervisor.</t>
  </si>
  <si>
    <t>Who is responsible for defining the details of employment regulations at my ETH institution?</t>
  </si>
  <si>
    <t>Each ETH institution and research institute defines the detailed employment rules for its staff and communicates them appropriately.</t>
  </si>
  <si>
    <t>What are the normal probation periods for different types of roles?</t>
  </si>
  <si>
    <t>Most roles have a three month probation period, while scientific or specialised roles may have up to six months, and internal transfers may have reduced or waived probation periods.</t>
  </si>
  <si>
    <t>Under what circumstances can a job be filled without a public advertisement?</t>
  </si>
  <si>
    <t>Jobs may be filled internally without public advertisement for short fixed term roles, internal promotions, job rotations, or integration and reintegration measures.</t>
  </si>
  <si>
    <t>How is my function assigned to a functional grade in the ETH Domain job grid?</t>
  </si>
  <si>
    <t>Your function is assigned to a grade based on qualifications, responsibilities, complexity, and skill requirements defined in the Function Grid.</t>
  </si>
  <si>
    <t>What should I do if I disagree with my allocated functional grade?</t>
  </si>
  <si>
    <t>You can request a review by the Parity Review Commission, which handles disputes about functional grade assignments.</t>
  </si>
  <si>
    <t>How is my starting salary determined within my functional grade?</t>
  </si>
  <si>
    <t>Your starting salary is set within your grade's salary band based on experience, skills, and market conditions.</t>
  </si>
  <si>
    <t>How does salary progression work when taking into account performance and experience?</t>
  </si>
  <si>
    <t>Each year your salary may increase toward the target level for your grade based on performance and experience, depending on available resources.</t>
  </si>
  <si>
    <t>What happens if my performance is rated below expectations?</t>
  </si>
  <si>
    <t>If you do not meet expectations, your supervisor must take measures such as offering support, adjusting tasks, or reviewing your position or employment status.</t>
  </si>
  <si>
    <t>How long must I have worked at an ETH institution before becoming eligible for early retirement due to restructuring?</t>
  </si>
  <si>
    <t>You must be at least 60 years old and have worked continuously for at least ten years to qualify for early retirement during restructuring.</t>
  </si>
  <si>
    <t>What protections do I have if I become unable to work due to illness or accident?</t>
  </si>
  <si>
    <t>You are protected from termination for a defined period during long term illness or accident, and termination can only occur once certain thresholds and conditions are met.</t>
  </si>
  <si>
    <t>How long is the employer obligated to continue my employment if I am on long term sick leave?</t>
  </si>
  <si>
    <t>During the first two years of service termination is possible only after 365 days of incapacity, and after that only after 730 days, unless exceptions apply.</t>
  </si>
  <si>
    <t>Can I continue working beyond the normal retirement age, and under what conditions?</t>
  </si>
  <si>
    <t>You may continue working past retirement age with mutual agreement, and employment ends automatically no later than the month you turn 70.</t>
  </si>
  <si>
    <t>What types of leave am I entitled to such as maternity, paternity, adoption, or caregiver leave?</t>
  </si>
  <si>
    <t>You are entitled to maternity, paternity, adoption, and caregiver leave with specific salary entitlements depending on the type of leave.</t>
  </si>
  <si>
    <t>What are my obligations regarding reporting secondary activities or potential conflicts of interest?</t>
  </si>
  <si>
    <t>You must report any secondary activities and ensure they do not create conflicts of interest or interfere with your primary role.</t>
  </si>
  <si>
    <t>What support is available if I feel discriminated against or experience a violation of my personal rights?</t>
  </si>
  <si>
    <t>Each institution provides an independent advisory office where you can seek confidential help if you feel harassed, penalised, or discriminated against.</t>
  </si>
  <si>
    <t>What benefits or allowances might I be eligible for?</t>
  </si>
  <si>
    <t>You may qualify for service allowances, bonuses, family allowances, and other financial or social benefits depending on your role.</t>
  </si>
  <si>
    <t>Where can I raise concerns if I disagree with my performance evaluation or salary progression?</t>
  </si>
  <si>
    <t>You can contact the internal office designated for resolving disagreements about performance evaluations or salary development.</t>
  </si>
  <si>
    <t>how does ETH Pension work?</t>
  </si>
  <si>
    <t>https://ethz.ch/en/the-eth-zurich/working-teaching-and-research/working-conditions/insurance-and-pension.html</t>
  </si>
  <si>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</si>
  <si>
    <t>where can I find details on ETH pensions?</t>
  </si>
  <si>
    <r>
      <rPr/>
      <t xml:space="preserve">View pension information at: </t>
    </r>
    <r>
      <rPr>
        <color rgb="FF1155CC"/>
        <u/>
      </rPr>
      <t>https://ethz.ch/en/the-eth-zurich/working-teaching-and-research/working-conditions/insurance-and-pension.html</t>
    </r>
  </si>
  <si>
    <t>what is the salary band for a post doc?</t>
  </si>
  <si>
    <t>https://ethz.ch/en/the-eth-zurich/working-teaching-and-research/welcome-center/employment-contract-and-salary/salary.html</t>
  </si>
  <si>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</si>
  <si>
    <t xml:space="preserve">On the fence if we should include the numbers as they will change over time? </t>
  </si>
  <si>
    <t>how do promotions or raises work?</t>
  </si>
  <si>
    <t>https://ethz.ch/staffnet/en/news-and-events/internal-news/archive/2024/08/eth-zurichs-salary-system-how-does-it-work.html</t>
  </si>
  <si>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</si>
  <si>
    <t>what is the ETH policy regarding using IT resources for personal use?</t>
  </si>
  <si>
    <t>https://ethz.ch/content/dam/ethz/main/eth-zurich/organisation/rechtssammlung/203.21en.pdf</t>
  </si>
  <si>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</si>
  <si>
    <t>https://wayback.archive-it.org/all/*/https://rechtssammlung.sp.ethz.ch/Dokumente/203.21en.pdf</t>
  </si>
  <si>
    <t>https://wayback.archive-it.org/19945/*/https://rechtssammlung.sp.ethz.ch/Dokumente/203.21en.pdf</t>
  </si>
  <si>
    <t>https://wayback.archive-it.org/19945/timemap/cdx?url=https://rechtssammlung.sp.ethz.ch/Dokumente/203.21en.pdf</t>
  </si>
  <si>
    <t>what are the open faculty positions at ETH?</t>
  </si>
  <si>
    <t>https://ethz.ch/en/the-eth-zurich/working-teaching-and-research/faculty/faculty-affairs/ausgeschriebene-professuren.html</t>
  </si>
  <si>
    <r>
      <rPr/>
      <t xml:space="preserve">View open positions at: </t>
    </r>
    <r>
      <rPr>
        <color rgb="FF1155CC"/>
        <u/>
      </rPr>
      <t>https://ethz.ch/en/the-eth-zurich/working-teaching-and-research/faculty/faculty-affairs/ausgeschriebene-professuren.html</t>
    </r>
  </si>
  <si>
    <t>This is very temporal so no point returning the actual jobs unless we agree to reindex periodically</t>
  </si>
  <si>
    <t>What is OASI?</t>
  </si>
  <si>
    <t>Old-age and survivor's insurance (OASI) - the first tier of the pension scheme - old-age and survivor's insurance is compulsory for all employees regardless of their citizenship. It is intended to cover basic needs in old age.</t>
  </si>
  <si>
    <t>Is the PUBLICA pension contribution split always 36% employee and 64% employer?</t>
  </si>
  <si>
    <t>ETH Zurich indicates that PUBLICA contributions are split 36% employee and 64% employer with no mentioned exceptions, so this split applies unless HR or PUBLICA states otherwise.</t>
  </si>
  <si>
    <t>What are the rules for making voluntary PUBLICA pension contributions?</t>
  </si>
  <si>
    <t>Employees may make voluntary contributions to PUBLICA to increase future benefits, specifics must be confirmed with PUBLICA or HR.</t>
  </si>
  <si>
    <t>Does ETH Zurich help employees set up Pillar 3 private retirement savings?</t>
  </si>
  <si>
    <t>https://ethz.ch/en/the-eth-zurich/working-teaching-and-research/welcome-center/Insurance-and-pension/old-age-pensions.html</t>
  </si>
  <si>
    <t>No, the third pillar – private savings plans – is optional and is based on private savings.</t>
  </si>
  <si>
    <t>What is the earliest age someone at ETH Zurich can take early retirement?</t>
  </si>
  <si>
    <t>Early retirement is possible from age 60, but it must be confirmed with HR.</t>
  </si>
  <si>
    <t>What are leisure accidents and how long does accident insurance last after employment ends?</t>
  </si>
  <si>
    <t>Employees working at least eight hours per week are insured for non-occupational leisure accidents, and this coverage continues for 31 days after employment ends; leisure accidents broadly include accidents outside work.</t>
  </si>
  <si>
    <t>What are the health insurance exemption criteria for foreign employees?</t>
  </si>
  <si>
    <t>Foreign employees in Canton Zurich may seek exemption from mandatory Swiss health insurance, check directly with SVA Zurich.</t>
  </si>
  <si>
    <t>name</t>
  </si>
  <si>
    <t>retrieval_dataset</t>
  </si>
  <si>
    <t>question_type</t>
  </si>
  <si>
    <t>link</t>
  </si>
  <si>
    <t>suitable_for_ir_eval_only</t>
  </si>
  <si>
    <t>suitable_for_rag_eval</t>
  </si>
  <si>
    <t>notes_ir</t>
  </si>
  <si>
    <t>notes_rag</t>
  </si>
  <si>
    <t>google_nq</t>
  </si>
  <si>
    <t>wikipedia</t>
  </si>
  <si>
    <t>extractive qa</t>
  </si>
  <si>
    <t>https://github.com/google-research-datasets/natural-questions</t>
  </si>
  <si>
    <t>yes</t>
  </si>
  <si>
    <t>for information retrieval only you can use the question_text and document_url from the input, seeing if the correct document would be returned.</t>
  </si>
  <si>
    <t>aside from regular evaluation, check if the "closed-book" answer (if retrieval is turned off) is similar to the rag answer</t>
  </si>
  <si>
    <t>squad</t>
  </si>
  <si>
    <t>https://huggingface.co/datasets/rajpurkar/squad</t>
  </si>
  <si>
    <t>for information retrieval only you can use the question and title (of the wikipedia article) from the input, seeing if the correct document would be returned.</t>
  </si>
  <si>
    <t>dpr</t>
  </si>
  <si>
    <t>https://github.com/facebookresearch/FiD</t>
  </si>
  <si>
    <t>for information retrieval only you can use the question and titles (of the wikipedia article) from the ctxs from the input, seeing if the correct document would be returned.</t>
  </si>
  <si>
    <t>uses exact match which can be tricky</t>
  </si>
  <si>
    <t>mmlu</t>
  </si>
  <si>
    <t>-</t>
  </si>
  <si>
    <t>multiple-choice</t>
  </si>
  <si>
    <t>https://huggingface.co/datasets/cais/mmlu</t>
  </si>
  <si>
    <t>no</t>
  </si>
  <si>
    <t>overview</t>
  </si>
  <si>
    <t>https://github.com/harpribot/awesome-information-retrieval</t>
  </si>
  <si>
    <t>https://github.com/RenzeLou/Datasets-for-Question-Answering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</si>
</sst>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u/>
      <color rgb="FF0000FF"/>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434343"/>
      <name val="Roboto"/>
    </font>
    <font>
      <u/>
      <color rgb="FF434343"/>
      <name val="Roboto"/>
    </font>
    <font>
      <u/>
      <color rgb="FF0000FF"/>
      <name val="Roboto"/>
    </font>
    <font>
      <u/>
      <color rgb="FF0000FF"/>
      <name val="Roboto"/>
    </font>
    <font>
      <u/>
      <color rgb="FF0000FF"/>
      <name val="Roboto"/>
    </font>
    <font>
      <u/>
      <color rgb="FF434343"/>
      <name val="Roboto"/>
    </font>
    <font>
      <u/>
      <color rgb="FF434343"/>
      <name val="Arial"/>
      <scheme val="minor"/>
    </font>
    <font>
      <u/>
      <color rgb="FF0000FF"/>
      <name val="Roboto"/>
    </font>
    <font>
      <u/>
      <color rgb="FF434343"/>
      <name val="Roboto"/>
    </font>
    <font>
      <u/>
      <color rgb="FF434343"/>
      <name val="Roboto"/>
    </font>
    <font>
      <u/>
      <color rgb="FF0000FF"/>
    </font>
  </fonts>
  <fills count="6">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F6F8F9"/>
        <bgColor rgb="FFF6F8F9"/>
      </patternFill>
    </fill>
  </fills>
  <borders count="3">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2" fontId="5" numFmtId="0" xfId="0" applyAlignment="1" applyFont="1">
      <alignment readingOrder="0" shrinkToFit="0" vertical="center" wrapText="0"/>
    </xf>
    <xf borderId="0" fillId="0" fontId="6" numFmtId="0" xfId="0" applyAlignment="1" applyFont="1">
      <alignment shrinkToFit="0" vertical="center" wrapText="0"/>
    </xf>
    <xf borderId="0" fillId="2" fontId="7" numFmtId="0" xfId="0" applyAlignment="1" applyFont="1">
      <alignment readingOrder="0" shrinkToFit="0" vertical="center" wrapText="0"/>
    </xf>
    <xf borderId="0" fillId="3" fontId="8" numFmtId="0" xfId="0" applyAlignment="1" applyFill="1" applyFont="1">
      <alignment readingOrder="0" shrinkToFit="0" vertical="center" wrapText="0"/>
    </xf>
    <xf borderId="0" fillId="0" fontId="9" numFmtId="0" xfId="0" applyAlignment="1" applyFont="1">
      <alignment readingOrder="0" shrinkToFit="0" vertical="center" wrapText="0"/>
    </xf>
    <xf borderId="0" fillId="3" fontId="10" numFmtId="0" xfId="0" applyAlignment="1" applyFont="1">
      <alignment readingOrder="0" shrinkToFit="0" vertical="center" wrapText="0"/>
    </xf>
    <xf borderId="0" fillId="0" fontId="1" numFmtId="0" xfId="0" applyAlignment="1" applyFont="1">
      <alignment readingOrder="0" shrinkToFit="0" vertical="center" wrapText="0"/>
    </xf>
    <xf borderId="0" fillId="3" fontId="11" numFmtId="0" xfId="0" applyAlignment="1" applyFont="1">
      <alignment readingOrder="0" shrinkToFit="0" vertical="center" wrapText="0"/>
    </xf>
    <xf borderId="0" fillId="0" fontId="1" numFmtId="0" xfId="0" applyAlignment="1" applyFont="1">
      <alignment shrinkToFit="0" vertical="center" wrapText="0"/>
    </xf>
    <xf borderId="0" fillId="4" fontId="12" numFmtId="0" xfId="0" applyAlignment="1" applyFill="1" applyFont="1">
      <alignment readingOrder="0" shrinkToFit="0" vertical="center" wrapText="0"/>
    </xf>
    <xf borderId="0" fillId="4" fontId="13" numFmtId="0" xfId="0" applyAlignment="1" applyFont="1">
      <alignment readingOrder="0" shrinkToFit="0" vertical="center" wrapText="0"/>
    </xf>
    <xf borderId="0" fillId="4" fontId="14" numFmtId="0" xfId="0" applyAlignment="1" applyFont="1">
      <alignment readingOrder="0" shrinkToFit="0" vertical="center" wrapText="0"/>
    </xf>
    <xf borderId="0" fillId="0" fontId="15" numFmtId="0" xfId="0" applyAlignment="1" applyFont="1">
      <alignment readingOrder="0" shrinkToFit="0" vertical="center" wrapText="0"/>
    </xf>
    <xf borderId="0" fillId="0" fontId="1" numFmtId="0" xfId="0" applyAlignment="1" applyFont="1">
      <alignment shrinkToFit="0" vertical="center" wrapText="0"/>
    </xf>
    <xf borderId="0" fillId="0" fontId="16" numFmtId="0" xfId="0" applyAlignment="1" applyFont="1">
      <alignment shrinkToFit="0" vertical="center" wrapText="0"/>
    </xf>
    <xf borderId="1" fillId="5" fontId="17" numFmtId="0" xfId="0" applyAlignment="1" applyBorder="1" applyFill="1" applyFont="1">
      <alignment shrinkToFit="0" vertical="center" wrapText="0"/>
    </xf>
    <xf borderId="2" fillId="5" fontId="18" numFmtId="0" xfId="0" applyAlignment="1" applyBorder="1" applyFont="1">
      <alignment shrinkToFit="0" vertical="center" wrapText="0"/>
    </xf>
    <xf borderId="0" fillId="0" fontId="1" numFmtId="0" xfId="0" applyAlignment="1" applyFont="1">
      <alignment readingOrder="0"/>
    </xf>
    <xf borderId="0" fillId="0" fontId="19"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a_admincha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08" displayName="Tabelle1" name="Tabelle1" id="1">
  <tableColumns count="13">
    <tableColumn name="question" id="1"/>
    <tableColumn name="lang" id="2"/>
    <tableColumn name="relevant_doc_1" id="3"/>
    <tableColumn name="relevant_doc_2" id="4"/>
    <tableColumn name="answer" id="5"/>
    <tableColumn name="generated_via" id="6"/>
    <tableColumn name="notes" id="7"/>
    <tableColumn name="wayback_link_all_doc1" id="8"/>
    <tableColumn name="wayback_link_eth_doc1" id="9"/>
    <tableColumn name="wayback_link_timemap_doc1" id="10"/>
    <tableColumn name="wayback_link_all_doc2" id="11"/>
    <tableColumn name="wayback_link_eth_doc2" id="12"/>
    <tableColumn name="wayback_link_timemap_doc2" id="13"/>
  </tableColumns>
  <tableStyleInfo name="qa_adminch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ayback.archive-it.org/all/*/https://unlimited.ethz.ch/display/itwdb/VPN" TargetMode="External"/><Relationship Id="rId190" Type="http://schemas.openxmlformats.org/officeDocument/2006/relationships/hyperlink" Target="https://ethz.ch/en/the-eth-zurich/working-teaching-and-research/working-conditions/insurance-and-pension.html" TargetMode="External"/><Relationship Id="rId42" Type="http://schemas.openxmlformats.org/officeDocument/2006/relationships/hyperlink" Target="https://ethz.ch/staffnet/en/employment-and-work/employment/offers-and-benefits.html" TargetMode="External"/><Relationship Id="rId41" Type="http://schemas.openxmlformats.org/officeDocument/2006/relationships/hyperlink" Target="https://wayback.archive-it.org/18167/timemap/cdx?url=https://unlimited.ethz.ch/display/itwdb/VPN" TargetMode="External"/><Relationship Id="rId44" Type="http://schemas.openxmlformats.org/officeDocument/2006/relationships/hyperlink" Target="https://ethz.ch/content/dam/ethz/associates/services/Anstellung-Arbeiten/Downloads/files/infos/Merkblatt_Einheitliche_Umsetzung_Arbeitszeit.pdf" TargetMode="External"/><Relationship Id="rId194" Type="http://schemas.openxmlformats.org/officeDocument/2006/relationships/table" Target="../tables/table1.xml"/><Relationship Id="rId43" Type="http://schemas.openxmlformats.org/officeDocument/2006/relationships/hyperlink" Target="https://ethz.ch/staffnet/en/service/mobility/parkierung.html" TargetMode="External"/><Relationship Id="rId46" Type="http://schemas.openxmlformats.org/officeDocument/2006/relationships/hyperlink" Target="https://ethz.ch/content/dam/ethz/associates/services/Anstellung-Arbeiten/Downloads/files/infos/Information_sheet_Uniform_implementation_working_hours.pdf" TargetMode="External"/><Relationship Id="rId192" Type="http://schemas.openxmlformats.org/officeDocument/2006/relationships/vmlDrawing" Target="../drawings/vmlDrawing1.vml"/><Relationship Id="rId45" Type="http://schemas.openxmlformats.org/officeDocument/2006/relationships/hyperlink" Target="https://ethz.ch/staffnet/de/anstellung-und-arbeit/rund-um-die-anstellung/arbeitszeiten/einheitliche-umsetzung-arbeitszeit.html" TargetMode="External"/><Relationship Id="rId191" Type="http://schemas.openxmlformats.org/officeDocument/2006/relationships/drawing" Target="../drawings/drawing1.xml"/><Relationship Id="rId48" Type="http://schemas.openxmlformats.org/officeDocument/2006/relationships/hyperlink" Target="https://ethz.ch/staffnet/de/anstellung-und-arbeit/rund-um-die-anstellung/arbeitszeiten/einheitliche-umsetzung-arbeitszeit.html" TargetMode="External"/><Relationship Id="rId187" Type="http://schemas.openxmlformats.org/officeDocument/2006/relationships/hyperlink" Target="https://ethz.ch/en/the-eth-zurich/working-teaching-and-research/working-conditions/insurance-and-pension.html" TargetMode="External"/><Relationship Id="rId47" Type="http://schemas.openxmlformats.org/officeDocument/2006/relationships/hyperlink" Target="https://ethz.ch/content/dam/ethz/associates/services/Anstellung-Arbeiten/Downloads/files/infos/Merkblatt_Einheitliche_Umsetzung_Arbeitszeit.pdf" TargetMode="External"/><Relationship Id="rId186" Type="http://schemas.openxmlformats.org/officeDocument/2006/relationships/hyperlink" Target="https://ethz.ch/en/the-eth-zurich/working-teaching-and-research/welcome-center/Insurance-and-pension/old-age-pensions.html" TargetMode="External"/><Relationship Id="rId185" Type="http://schemas.openxmlformats.org/officeDocument/2006/relationships/hyperlink" Target="https://ethz.ch/en/the-eth-zurich/working-teaching-and-research/working-conditions/insurance-and-pension.html" TargetMode="External"/><Relationship Id="rId49" Type="http://schemas.openxmlformats.org/officeDocument/2006/relationships/hyperlink" Target="https://ethz.ch/content/dam/ethz/associates/services/Anstellung-Arbeiten/Downloads/files/infos/Merkblatt_Einheitliche_Umsetzung_Arbeitszeit.pdf" TargetMode="External"/><Relationship Id="rId184" Type="http://schemas.openxmlformats.org/officeDocument/2006/relationships/hyperlink" Target="https://ethz.ch/en/the-eth-zurich/working-teaching-and-research/working-conditions/insurance-and-pension.html" TargetMode="External"/><Relationship Id="rId189" Type="http://schemas.openxmlformats.org/officeDocument/2006/relationships/hyperlink" Target="https://ethz.ch/en/the-eth-zurich/working-teaching-and-research/working-conditions/insurance-and-pension.html" TargetMode="External"/><Relationship Id="rId188" Type="http://schemas.openxmlformats.org/officeDocument/2006/relationships/hyperlink" Target="https://ethz.ch/en/the-eth-zurich/working-teaching-and-research/working-conditions/insurance-and-pension.html" TargetMode="External"/><Relationship Id="rId31" Type="http://schemas.openxmlformats.org/officeDocument/2006/relationships/hyperlink" Target="https://ethz.ch/staffnet/en/service/communication/corporate-design/templates.html" TargetMode="External"/><Relationship Id="rId30" Type="http://schemas.openxmlformats.org/officeDocument/2006/relationships/hyperlink" Target="https://ethz.ch/staffnet/de/service/kommunikation/corporate-design/farbe.html" TargetMode="External"/><Relationship Id="rId33" Type="http://schemas.openxmlformats.org/officeDocument/2006/relationships/hyperlink" Target="https://ethz.ch/staffnet/en/it-services/documents/useful-links.html" TargetMode="External"/><Relationship Id="rId183" Type="http://schemas.openxmlformats.org/officeDocument/2006/relationships/hyperlink" Target="https://ethz.ch/en/the-eth-zurich/working-teaching-and-research/working-conditions/insurance-and-pension.html" TargetMode="External"/><Relationship Id="rId32" Type="http://schemas.openxmlformats.org/officeDocument/2006/relationships/hyperlink" Target="https://ethz.ch/content/dam/ethz/associates/services/Service/kommunikation/cd/template-downloadbereich/ETH-Praesentation-Template.zip" TargetMode="External"/><Relationship Id="rId182" Type="http://schemas.openxmlformats.org/officeDocument/2006/relationships/hyperlink" Target="https://ethz.ch/en/the-eth-zurich/working-teaching-and-research/faculty/faculty-affairs/ausgeschriebene-professuren.html" TargetMode="External"/><Relationship Id="rId35" Type="http://schemas.openxmlformats.org/officeDocument/2006/relationships/hyperlink" Target="https://www.isg.inf.ethz.ch/Main/HelpSoftware" TargetMode="External"/><Relationship Id="rId181" Type="http://schemas.openxmlformats.org/officeDocument/2006/relationships/hyperlink" Target="https://ethz.ch/en/the-eth-zurich/working-teaching-and-research/faculty/faculty-affairs/ausgeschriebene-professuren.html" TargetMode="External"/><Relationship Id="rId34" Type="http://schemas.openxmlformats.org/officeDocument/2006/relationships/hyperlink" Target="https://ethz.ch/staffnet/en/it-services/documents/useful-links.html" TargetMode="External"/><Relationship Id="rId180" Type="http://schemas.openxmlformats.org/officeDocument/2006/relationships/hyperlink" Target="https://wayback.archive-it.org/19945/timemap/cdx?url=https://rechtssammlung.sp.ethz.ch/Dokumente/203.21en.pdf" TargetMode="External"/><Relationship Id="rId37" Type="http://schemas.openxmlformats.org/officeDocument/2006/relationships/hyperlink" Target="https://unlimited.ethz.ch/help/network/vpn" TargetMode="External"/><Relationship Id="rId176" Type="http://schemas.openxmlformats.org/officeDocument/2006/relationships/hyperlink" Target="https://ethz.ch/staffnet/en/news-and-events/internal-news/archive/2024/08/eth-zurichs-salary-system-how-does-it-work.html" TargetMode="External"/><Relationship Id="rId36" Type="http://schemas.openxmlformats.org/officeDocument/2006/relationships/hyperlink" Target="https://ethz.ch/staffnet/de/it-services/katalog.html" TargetMode="External"/><Relationship Id="rId175" Type="http://schemas.openxmlformats.org/officeDocument/2006/relationships/hyperlink" Target="https://ethz.ch/en/the-eth-zurich/working-teaching-and-research/welcome-center/employment-contract-and-salary/salary.html" TargetMode="External"/><Relationship Id="rId39" Type="http://schemas.openxmlformats.org/officeDocument/2006/relationships/hyperlink" Target="https://wayback.archive-it.org/all/*/https://unlimited.ethz.ch/display/itwdb/VPN" TargetMode="External"/><Relationship Id="rId174" Type="http://schemas.openxmlformats.org/officeDocument/2006/relationships/hyperlink" Target="https://ethz.ch/en/the-eth-zurich/working-teaching-and-research/working-conditions/insurance-and-pension.html" TargetMode="External"/><Relationship Id="rId38" Type="http://schemas.openxmlformats.org/officeDocument/2006/relationships/hyperlink" Target="https://ethz.ch/staffnet/en/it-services/catalogue.html" TargetMode="External"/><Relationship Id="rId173" Type="http://schemas.openxmlformats.org/officeDocument/2006/relationships/hyperlink" Target="https://ethz.ch/en/the-eth-zurich/working-teaching-and-research/working-conditions/insurance-and-pension.html" TargetMode="External"/><Relationship Id="rId179" Type="http://schemas.openxmlformats.org/officeDocument/2006/relationships/hyperlink" Target="https://wayback.archive-it.org/all/20250623071724mp_/https://rechtssammlung.sp.ethz.ch/Dokumente/203.21en.pdf" TargetMode="External"/><Relationship Id="rId178" Type="http://schemas.openxmlformats.org/officeDocument/2006/relationships/hyperlink" Target="https://wayback.archive-it.org/all/*/https://rechtssammlung.sp.ethz.ch/Dokumente/203.21en.pdf" TargetMode="External"/><Relationship Id="rId177" Type="http://schemas.openxmlformats.org/officeDocument/2006/relationships/hyperlink" Target="https://ethz.ch/content/dam/ethz/main/eth-zurich/organisation/rechtssammlung/203.21en.pdf" TargetMode="External"/><Relationship Id="rId20" Type="http://schemas.openxmlformats.org/officeDocument/2006/relationships/hyperlink" Target="https://unlimited.ethz.ch/en/help/printing/manuals-and-documentation/instructions-print-service-staff/webprint" TargetMode="External"/><Relationship Id="rId22" Type="http://schemas.openxmlformats.org/officeDocument/2006/relationships/hyperlink" Target="https://wayback.archive-it.org/18167/*/https://unlimited.ethz.ch/display/itkb/Printing+service+for+employees" TargetMode="External"/><Relationship Id="rId21" Type="http://schemas.openxmlformats.org/officeDocument/2006/relationships/hyperlink" Target="https://wayback.archive-it.org/all/*/https://unlimited.ethz.ch/display/itkb/Printing+service+for+employees" TargetMode="External"/><Relationship Id="rId24" Type="http://schemas.openxmlformats.org/officeDocument/2006/relationships/hyperlink" Target="https://unlimited.ethz.ch/en/help/printing/manuals-and-documentation/instructions-print-service-staff/webprint" TargetMode="External"/><Relationship Id="rId23" Type="http://schemas.openxmlformats.org/officeDocument/2006/relationships/hyperlink" Target="https://wayback.archive-it.org/18167/timemap/cdx?url=https://unlimited.ethz.ch/display/itkb/Printing+service+for+employees" TargetMode="External"/><Relationship Id="rId26" Type="http://schemas.openxmlformats.org/officeDocument/2006/relationships/hyperlink" Target="https://wayback.archive-it.org/18167/*/https://unlimited.ethz.ch/display/itkb/Printing+service+for+employees" TargetMode="External"/><Relationship Id="rId25" Type="http://schemas.openxmlformats.org/officeDocument/2006/relationships/hyperlink" Target="https://wayback.archive-it.org/all/*/https://unlimited.ethz.ch/display/itkb/Printing+service+for+employees" TargetMode="External"/><Relationship Id="rId28" Type="http://schemas.openxmlformats.org/officeDocument/2006/relationships/hyperlink" Target="https://ethz.ch/staffnet/en/it-services/catalogue/printing/self-service/printer-locations.html" TargetMode="External"/><Relationship Id="rId27" Type="http://schemas.openxmlformats.org/officeDocument/2006/relationships/hyperlink" Target="https://wayback.archive-it.org/18167/timemap/cdx?url=https://unlimited.ethz.ch/display/itkb/Printing+service+for+employees" TargetMode="External"/><Relationship Id="rId29" Type="http://schemas.openxmlformats.org/officeDocument/2006/relationships/hyperlink" Target="https://ethz.ch/staffnet/de/anstellung-und-arbeit/rund-um-die-anstellung/lohn/familienzulagen.html" TargetMode="External"/><Relationship Id="rId11" Type="http://schemas.openxmlformats.org/officeDocument/2006/relationships/hyperlink" Target="https://wayback.archive-it.org/18167/timemap/cdx?url=https://unlimited.ethz.ch/display/itkb/Printing+service+for+employees" TargetMode="External"/><Relationship Id="rId10" Type="http://schemas.openxmlformats.org/officeDocument/2006/relationships/hyperlink" Target="https://wayback.archive-it.org/18167/*/https://unlimited.ethz.ch/display/itkb/Printing+service+for+employees" TargetMode="External"/><Relationship Id="rId13" Type="http://schemas.openxmlformats.org/officeDocument/2006/relationships/hyperlink" Target="https://wayback.archive-it.org/all/*/https://unlimited.ethz.ch/display/itkb/Printing+service+for+employees" TargetMode="External"/><Relationship Id="rId12" Type="http://schemas.openxmlformats.org/officeDocument/2006/relationships/hyperlink" Target="https://unlimited.ethz.ch/en/help/printing/manuals-and-documentation/instructions-print-service-staff/webprint" TargetMode="External"/><Relationship Id="rId15" Type="http://schemas.openxmlformats.org/officeDocument/2006/relationships/hyperlink" Target="https://wayback.archive-it.org/18167/timemap/cdx?url=https://unlimited.ethz.ch/display/itkb/Printing+service+for+employees" TargetMode="External"/><Relationship Id="rId14" Type="http://schemas.openxmlformats.org/officeDocument/2006/relationships/hyperlink" Target="https://wayback.archive-it.org/18167/*/https://unlimited.ethz.ch/display/itkb/Printing+service+for+employees" TargetMode="External"/><Relationship Id="rId17" Type="http://schemas.openxmlformats.org/officeDocument/2006/relationships/hyperlink" Target="https://wayback.archive-it.org/all/*/https://unlimited.ethz.ch/display/itkb/Printing+service+for+employees" TargetMode="External"/><Relationship Id="rId16" Type="http://schemas.openxmlformats.org/officeDocument/2006/relationships/hyperlink" Target="https://unlimited.ethz.ch/en/help/printing/manuals-and-documentation/instructions-print-service-staff/webprint" TargetMode="External"/><Relationship Id="rId19" Type="http://schemas.openxmlformats.org/officeDocument/2006/relationships/hyperlink" Target="https://wayback.archive-it.org/18167/timemap/cdx?url=https://unlimited.ethz.ch/display/itkb/Printing+service+for+employees" TargetMode="External"/><Relationship Id="rId18" Type="http://schemas.openxmlformats.org/officeDocument/2006/relationships/hyperlink" Target="https://wayback.archive-it.org/18167/*/https://unlimited.ethz.ch/display/itkb/Printing+service+for+employees" TargetMode="External"/><Relationship Id="rId84" Type="http://schemas.openxmlformats.org/officeDocument/2006/relationships/hyperlink" Target="https://ethz.ch/staffnet/en/service/rooms-and-buildings/foyers/dining-areas.html" TargetMode="External"/><Relationship Id="rId83" Type="http://schemas.openxmlformats.org/officeDocument/2006/relationships/hyperlink" Target="https://ethz.ch/staffnet/de/anstellung-und-arbeit/rund-um-die-anstellung/arbeitszeiten/mutterschafts-vaterschaftsurlaub.html" TargetMode="External"/><Relationship Id="rId86" Type="http://schemas.openxmlformats.org/officeDocument/2006/relationships/hyperlink" Target="https://wayback.archive-it.org/19945/*/https://ethz.ch/staffnet/en/service/events/venues.html" TargetMode="External"/><Relationship Id="rId85" Type="http://schemas.openxmlformats.org/officeDocument/2006/relationships/hyperlink" Target="https://wayback.archive-it.org/all/*/https://ethz.ch/staffnet/en/service/events/venues.html" TargetMode="External"/><Relationship Id="rId88" Type="http://schemas.openxmlformats.org/officeDocument/2006/relationships/hyperlink" Target="https://ethz.ch/staffnet/en/service/rooms-and-buildings/foyers/dining-areas.html" TargetMode="External"/><Relationship Id="rId150" Type="http://schemas.openxmlformats.org/officeDocument/2006/relationships/hyperlink" Target="https://ethz.ch/content/dam/ethz/associates/services/Anstellung-Arbeiten/Downloads/files/rechtliches/Brochure_Personnel_Law.pdf" TargetMode="External"/><Relationship Id="rId87" Type="http://schemas.openxmlformats.org/officeDocument/2006/relationships/hyperlink" Target="https://wayback.archive-it.org/19945/timemap/cdx?url=https://ethz.ch/staffnet/en/service/events/venues.html" TargetMode="External"/><Relationship Id="rId89" Type="http://schemas.openxmlformats.org/officeDocument/2006/relationships/hyperlink" Target="https://wayback.archive-it.org/all/*/https://ethz.ch/staffnet/en/service/events/venues.html" TargetMode="External"/><Relationship Id="rId80" Type="http://schemas.openxmlformats.org/officeDocument/2006/relationships/hyperlink" Target="https://ethz.ch/staffnet/de/anstellung-und-arbeit/arbeitsumfeld/familie/mutterschaft/mutterschafts-vaterschaftsurlaub.html" TargetMode="External"/><Relationship Id="rId82" Type="http://schemas.openxmlformats.org/officeDocument/2006/relationships/hyperlink" Target="https://ethz.ch/staffnet/de/anstellung-und-arbeit/rund-um-die-anstellung/arbeitszeiten/mutterschafts-vaterschaftsurlaub.html" TargetMode="External"/><Relationship Id="rId81" Type="http://schemas.openxmlformats.org/officeDocument/2006/relationships/hyperlink" Target="https://ethz.ch/staffnet/de/anstellung-und-arbeit/rund-um-die-anstellung/arbeitszeiten/mutterschafts-vaterschaftsurlaub.html" TargetMode="External"/><Relationship Id="rId1" Type="http://schemas.openxmlformats.org/officeDocument/2006/relationships/comments" Target="../comments1.xml"/><Relationship Id="rId2" Type="http://schemas.openxmlformats.org/officeDocument/2006/relationships/hyperlink" Target="https://ethz.ch/staffnet/de/anstellung-und-arbeit/rund-um-die-anstellung/arbeitszeiten/zeit-und-abwesenheitserfassung.html" TargetMode="External"/><Relationship Id="rId3" Type="http://schemas.openxmlformats.org/officeDocument/2006/relationships/hyperlink" Target="https://ethz.ch/content/dam/ethz/associates/services/Anstellung-Arbeiten/Downloads/files/rechtliches/Reglement_zur_Erfassung_der_Arbeitszeit_und_Abwesenheiten.pdf" TargetMode="External"/><Relationship Id="rId149" Type="http://schemas.openxmlformats.org/officeDocument/2006/relationships/hyperlink" Target="https://ethz.ch/staffnet/en/employment-and-work/employment/working-hours.html" TargetMode="External"/><Relationship Id="rId4" Type="http://schemas.openxmlformats.org/officeDocument/2006/relationships/hyperlink" Target="https://ethz.ch/staffnet/de/anstellung-und-arbeit/rund-um-die-anstellung/arbeitszeiten/zeit-und-abwesenheitserfassung.html" TargetMode="External"/><Relationship Id="rId148" Type="http://schemas.openxmlformats.org/officeDocument/2006/relationships/hyperlink" Target="https://ethz.ch/content/dam/ethz/associates/services/Anstellung-Arbeiten/Downloads/files/rechtliches/Brochure_Personnel_Law.pdf" TargetMode="External"/><Relationship Id="rId9" Type="http://schemas.openxmlformats.org/officeDocument/2006/relationships/hyperlink" Target="https://wayback.archive-it.org/all/*/https://unlimited.ethz.ch/display/itkb/Printing+service+for+employees" TargetMode="External"/><Relationship Id="rId143" Type="http://schemas.openxmlformats.org/officeDocument/2006/relationships/hyperlink" Target="https://ethz.ch/staffnet/en/employment-and-work/employment/working-hours.html" TargetMode="External"/><Relationship Id="rId142" Type="http://schemas.openxmlformats.org/officeDocument/2006/relationships/hyperlink" Target="https://ethz.ch/content/dam/ethz/associates/services/Anstellung-Arbeiten/Downloads/files/rechtliches/Brochure_Personnel_Law.pdf" TargetMode="External"/><Relationship Id="rId141" Type="http://schemas.openxmlformats.org/officeDocument/2006/relationships/hyperlink" Target="https://ethz.ch/staffnet/en/employment-and-work/employment/working-hours.html" TargetMode="External"/><Relationship Id="rId140" Type="http://schemas.openxmlformats.org/officeDocument/2006/relationships/hyperlink" Target="https://ethz.ch/content/dam/ethz/associates/services/Anstellung-Arbeiten/Downloads/files/rechtliches/Brochure_Personnel_Law.pdf" TargetMode="External"/><Relationship Id="rId5" Type="http://schemas.openxmlformats.org/officeDocument/2006/relationships/hyperlink" Target="https://ethz.ch/content/dam/ethz/associates/services/Anstellung-Arbeiten/Downloads/files/rechtliches/Reglement_zur_Erfassung_der_Arbeitszeit_und_Abwesenheiten.pdf" TargetMode="External"/><Relationship Id="rId147" Type="http://schemas.openxmlformats.org/officeDocument/2006/relationships/hyperlink" Target="https://ethz.ch/staffnet/en/employment-and-work/employment/working-hours.html" TargetMode="External"/><Relationship Id="rId6" Type="http://schemas.openxmlformats.org/officeDocument/2006/relationships/hyperlink" Target="https://ethz.ch/staffnet/de/anstellung-und-arbeit/rund-um-die-anstellung/arbeitszeiten/zeit-und-abwesenheitserfassung.html" TargetMode="External"/><Relationship Id="rId146" Type="http://schemas.openxmlformats.org/officeDocument/2006/relationships/hyperlink" Target="https://ethz.ch/content/dam/ethz/associates/services/Anstellung-Arbeiten/Downloads/files/rechtliches/Brochure_Personnel_Law.pdf" TargetMode="External"/><Relationship Id="rId7" Type="http://schemas.openxmlformats.org/officeDocument/2006/relationships/hyperlink" Target="https://ethz.ch/content/dam/ethz/associates/services/Anstellung-Arbeiten/Downloads/files/rechtliches/Reglement_zur_Erfassung_der_Arbeitszeit_und_Abwesenheiten.pdf" TargetMode="External"/><Relationship Id="rId145" Type="http://schemas.openxmlformats.org/officeDocument/2006/relationships/hyperlink" Target="https://ethz.ch/staffnet/en/employment-and-work/employment/working-hours.html" TargetMode="External"/><Relationship Id="rId8" Type="http://schemas.openxmlformats.org/officeDocument/2006/relationships/hyperlink" Target="https://unlimited.ethz.ch/en/help/printing/manuals-and-documentation/instructions-print-service-staff/webprint" TargetMode="External"/><Relationship Id="rId144" Type="http://schemas.openxmlformats.org/officeDocument/2006/relationships/hyperlink" Target="https://ethz.ch/content/dam/ethz/associates/services/Anstellung-Arbeiten/Downloads/files/rechtliches/Brochure_Personnel_Law.pdf" TargetMode="External"/><Relationship Id="rId73" Type="http://schemas.openxmlformats.org/officeDocument/2006/relationships/hyperlink" Target="https://ethz.ch/content/dam/ethz/associates/services/Anstellung-Arbeiten/Downloads/files/infos/Merkblatt_Einheitliche_Umsetzung_Arbeitszeit.pdf" TargetMode="External"/><Relationship Id="rId72" Type="http://schemas.openxmlformats.org/officeDocument/2006/relationships/hyperlink" Target="https://ethz.ch/staffnet/de/anstellung-und-arbeit/rund-um-die-anstellung/arbeitszeiten/einheitliche-umsetzung-arbeitszeit.html" TargetMode="External"/><Relationship Id="rId75" Type="http://schemas.openxmlformats.org/officeDocument/2006/relationships/hyperlink" Target="https://ethz.ch/content/dam/ethz/associates/services/Anstellung-Arbeiten/Downloads/files/infos/Merkblatt_Einheitliche_Umsetzung_Arbeitszeit.pdf" TargetMode="External"/><Relationship Id="rId74" Type="http://schemas.openxmlformats.org/officeDocument/2006/relationships/hyperlink" Target="https://ethz.ch/staffnet/de/anstellung-und-arbeit/rund-um-die-anstellung/arbeitszeiten/einheitliche-umsetzung-arbeitszeit.html" TargetMode="External"/><Relationship Id="rId77" Type="http://schemas.openxmlformats.org/officeDocument/2006/relationships/hyperlink" Target="https://ethz.ch/content/dam/ethz/associates/services/Anstellung-Arbeiten/Downloads/files/infos/Merkblatt_Elternschaft.pdf" TargetMode="External"/><Relationship Id="rId76" Type="http://schemas.openxmlformats.org/officeDocument/2006/relationships/hyperlink" Target="https://ethz.ch/staffnet/de/anstellung-und-arbeit/rund-um-die-anstellung/arbeitszeiten/einheitliche-umsetzung-arbeitszeit.html" TargetMode="External"/><Relationship Id="rId79" Type="http://schemas.openxmlformats.org/officeDocument/2006/relationships/hyperlink" Target="https://ethz.ch/content/dam/ethz/associates/services/Anstellung-Arbeiten/Downloads/files/infos/Merkblatt_Elternschaft.pdf" TargetMode="External"/><Relationship Id="rId78" Type="http://schemas.openxmlformats.org/officeDocument/2006/relationships/hyperlink" Target="https://ethz.ch/staffnet/de/anstellung-und-arbeit/rund-um-die-anstellung/arbeitszeiten/mutterschafts-vaterschaftsurlaub.html" TargetMode="External"/><Relationship Id="rId71" Type="http://schemas.openxmlformats.org/officeDocument/2006/relationships/hyperlink" Target="https://ethz.ch/content/dam/ethz/associates/services/Anstellung-Arbeiten/Downloads/files/infos/Merkblatt_Einheitliche_Umsetzung_Arbeitszeit.pdf" TargetMode="External"/><Relationship Id="rId70" Type="http://schemas.openxmlformats.org/officeDocument/2006/relationships/hyperlink" Target="https://ethz.ch/staffnet/de/anstellung-und-arbeit/rund-um-die-anstellung/arbeitszeiten/einheitliche-umsetzung-arbeitszeit.html" TargetMode="External"/><Relationship Id="rId139" Type="http://schemas.openxmlformats.org/officeDocument/2006/relationships/hyperlink" Target="https://ethz.ch/staffnet/en/employment-and-work/employment/working-hours.html" TargetMode="External"/><Relationship Id="rId138" Type="http://schemas.openxmlformats.org/officeDocument/2006/relationships/hyperlink" Target="https://ethz.ch/content/dam/ethz/associates/services/Anstellung-Arbeiten/Downloads/files/rechtliches/Brochure_Personnel_Law.pdf" TargetMode="External"/><Relationship Id="rId137" Type="http://schemas.openxmlformats.org/officeDocument/2006/relationships/hyperlink" Target="https://ethz.ch/staffnet/en/employment-and-work/employment/working-hours.html" TargetMode="External"/><Relationship Id="rId132" Type="http://schemas.openxmlformats.org/officeDocument/2006/relationships/hyperlink" Target="https://ethz.ch/content/dam/ethz/main/campus/campus-erleben/lernen-arbeiten/anreise-campus-info-hoenggerberg-en.pdf" TargetMode="External"/><Relationship Id="rId131" Type="http://schemas.openxmlformats.org/officeDocument/2006/relationships/hyperlink" Target="https://ethz.ch/de/campus/erreichen/hoenggerberg.html" TargetMode="External"/><Relationship Id="rId130" Type="http://schemas.openxmlformats.org/officeDocument/2006/relationships/hyperlink" Target="https://ethz.ch/de/campus/erreichen/hoenggerberg.html" TargetMode="External"/><Relationship Id="rId136" Type="http://schemas.openxmlformats.org/officeDocument/2006/relationships/hyperlink" Target="https://ethz.ch/content/dam/ethz/associates/services/Anstellung-Arbeiten/Downloads/files/rechtliches/Brochure_Personnel_Law.pdf" TargetMode="External"/><Relationship Id="rId135" Type="http://schemas.openxmlformats.org/officeDocument/2006/relationships/hyperlink" Target="https://ethz.ch/staffnet/en/employment-and-work/employment/working-hours.html" TargetMode="External"/><Relationship Id="rId134" Type="http://schemas.openxmlformats.org/officeDocument/2006/relationships/hyperlink" Target="https://ethz.ch/content/dam/ethz/associates/services/Anstellung-Arbeiten/Downloads/files/rechtliches/Brochure_Personnel_Law.pdf" TargetMode="External"/><Relationship Id="rId133" Type="http://schemas.openxmlformats.org/officeDocument/2006/relationships/hyperlink" Target="https://ethz.ch/en/the-eth-zurich/organisation/executive-board/president.html" TargetMode="External"/><Relationship Id="rId62" Type="http://schemas.openxmlformats.org/officeDocument/2006/relationships/hyperlink" Target="https://ethz.ch/staffnet/de/anstellung-und-arbeit/rund-um-die-anstellung/arbeitszeiten/einheitliche-umsetzung-arbeitszeit.html" TargetMode="External"/><Relationship Id="rId61" Type="http://schemas.openxmlformats.org/officeDocument/2006/relationships/hyperlink" Target="https://ethz.ch/content/dam/ethz/associates/services/Anstellung-Arbeiten/Downloads/files/infos/Merkblatt_Einheitliche_Umsetzung_Arbeitszeit.pdf" TargetMode="External"/><Relationship Id="rId64" Type="http://schemas.openxmlformats.org/officeDocument/2006/relationships/hyperlink" Target="https://ethz.ch/staffnet/de/anstellung-und-arbeit/rund-um-die-anstellung/arbeitszeiten/einheitliche-umsetzung-arbeitszeit.html" TargetMode="External"/><Relationship Id="rId63" Type="http://schemas.openxmlformats.org/officeDocument/2006/relationships/hyperlink" Target="https://ethz.ch/content/dam/ethz/associates/services/Anstellung-Arbeiten/Downloads/files/infos/Merkblatt_Einheitliche_Umsetzung_Arbeitszeit.pdf" TargetMode="External"/><Relationship Id="rId66" Type="http://schemas.openxmlformats.org/officeDocument/2006/relationships/hyperlink" Target="https://ethz.ch/staffnet/de/anstellung-und-arbeit/rund-um-die-anstellung/arbeitszeiten/einheitliche-umsetzung-arbeitszeit.html" TargetMode="External"/><Relationship Id="rId172" Type="http://schemas.openxmlformats.org/officeDocument/2006/relationships/hyperlink" Target="https://ethz.ch/en/the-eth-zurich/working-teaching-and-research/working-conditions/insurance-and-pension.html" TargetMode="External"/><Relationship Id="rId65" Type="http://schemas.openxmlformats.org/officeDocument/2006/relationships/hyperlink" Target="https://ethz.ch/content/dam/ethz/associates/services/Anstellung-Arbeiten/Downloads/files/infos/Merkblatt_Einheitliche_Umsetzung_Arbeitszeit.pdf" TargetMode="External"/><Relationship Id="rId171" Type="http://schemas.openxmlformats.org/officeDocument/2006/relationships/hyperlink" Target="https://ethz.ch/staffnet/en/employment-and-work/employment/working-hours.html" TargetMode="External"/><Relationship Id="rId68" Type="http://schemas.openxmlformats.org/officeDocument/2006/relationships/hyperlink" Target="https://ethz.ch/staffnet/de/anstellung-und-arbeit/rund-um-die-anstellung/arbeitszeiten/einheitliche-umsetzung-arbeitszeit.html" TargetMode="External"/><Relationship Id="rId170" Type="http://schemas.openxmlformats.org/officeDocument/2006/relationships/hyperlink" Target="https://ethz.ch/content/dam/ethz/associates/services/Anstellung-Arbeiten/Downloads/files/rechtliches/Brochure_Personnel_Law.pdf" TargetMode="External"/><Relationship Id="rId67" Type="http://schemas.openxmlformats.org/officeDocument/2006/relationships/hyperlink" Target="https://ethz.ch/content/dam/ethz/associates/services/Anstellung-Arbeiten/Downloads/files/infos/Merkblatt_Einheitliche_Umsetzung_Arbeitszeit.pdf" TargetMode="External"/><Relationship Id="rId60" Type="http://schemas.openxmlformats.org/officeDocument/2006/relationships/hyperlink" Target="https://ethz.ch/staffnet/de/anstellung-und-arbeit/rund-um-die-anstellung/arbeitszeiten/einheitliche-umsetzung-arbeitszeit.html" TargetMode="External"/><Relationship Id="rId165" Type="http://schemas.openxmlformats.org/officeDocument/2006/relationships/hyperlink" Target="https://ethz.ch/staffnet/en/employment-and-work/employment/working-hours.html" TargetMode="External"/><Relationship Id="rId69" Type="http://schemas.openxmlformats.org/officeDocument/2006/relationships/hyperlink" Target="https://ethz.ch/content/dam/ethz/associates/services/Anstellung-Arbeiten/Downloads/files/infos/Merkblatt_Einheitliche_Umsetzung_Arbeitszeit.pdf" TargetMode="External"/><Relationship Id="rId164" Type="http://schemas.openxmlformats.org/officeDocument/2006/relationships/hyperlink" Target="https://ethz.ch/content/dam/ethz/associates/services/Anstellung-Arbeiten/Downloads/files/rechtliches/Brochure_Personnel_Law.pdf" TargetMode="External"/><Relationship Id="rId163" Type="http://schemas.openxmlformats.org/officeDocument/2006/relationships/hyperlink" Target="https://ethz.ch/staffnet/en/employment-and-work/employment/working-hours.html" TargetMode="External"/><Relationship Id="rId162" Type="http://schemas.openxmlformats.org/officeDocument/2006/relationships/hyperlink" Target="https://ethz.ch/content/dam/ethz/associates/services/Anstellung-Arbeiten/Downloads/files/rechtliches/Brochure_Personnel_Law.pdf" TargetMode="External"/><Relationship Id="rId169" Type="http://schemas.openxmlformats.org/officeDocument/2006/relationships/hyperlink" Target="https://ethz.ch/staffnet/en/employment-and-work/employment/working-hours.html" TargetMode="External"/><Relationship Id="rId168" Type="http://schemas.openxmlformats.org/officeDocument/2006/relationships/hyperlink" Target="https://ethz.ch/content/dam/ethz/associates/services/Anstellung-Arbeiten/Downloads/files/rechtliches/Brochure_Personnel_Law.pdf" TargetMode="External"/><Relationship Id="rId167" Type="http://schemas.openxmlformats.org/officeDocument/2006/relationships/hyperlink" Target="https://ethz.ch/staffnet/en/employment-and-work/employment/working-hours.html" TargetMode="External"/><Relationship Id="rId166" Type="http://schemas.openxmlformats.org/officeDocument/2006/relationships/hyperlink" Target="https://ethz.ch/content/dam/ethz/associates/services/Anstellung-Arbeiten/Downloads/files/rechtliches/Brochure_Personnel_Law.pdf" TargetMode="External"/><Relationship Id="rId51" Type="http://schemas.openxmlformats.org/officeDocument/2006/relationships/hyperlink" Target="https://ethz.ch/content/dam/ethz/associates/services/Anstellung-Arbeiten/Downloads/files/infos/Merkblatt_Einheitliche_Umsetzung_Arbeitszeit.pdf" TargetMode="External"/><Relationship Id="rId50" Type="http://schemas.openxmlformats.org/officeDocument/2006/relationships/hyperlink" Target="https://ethz.ch/staffnet/de/anstellung-und-arbeit/rund-um-die-anstellung/arbeitszeiten/einheitliche-umsetzung-arbeitszeit.html" TargetMode="External"/><Relationship Id="rId53" Type="http://schemas.openxmlformats.org/officeDocument/2006/relationships/hyperlink" Target="https://ethz.ch/content/dam/ethz/associates/services/Anstellung-Arbeiten/Downloads/files/infos/Merkblatt_Einheitliche_Umsetzung_Arbeitszeit.pdf" TargetMode="External"/><Relationship Id="rId52" Type="http://schemas.openxmlformats.org/officeDocument/2006/relationships/hyperlink" Target="https://ethz.ch/staffnet/de/anstellung-und-arbeit/rund-um-die-anstellung/arbeitszeiten/einheitliche-umsetzung-arbeitszeit.html" TargetMode="External"/><Relationship Id="rId55" Type="http://schemas.openxmlformats.org/officeDocument/2006/relationships/hyperlink" Target="https://ethz.ch/content/dam/ethz/associates/services/Anstellung-Arbeiten/Downloads/files/infos/Merkblatt_Einheitliche_Umsetzung_Arbeitszeit.pdf" TargetMode="External"/><Relationship Id="rId161" Type="http://schemas.openxmlformats.org/officeDocument/2006/relationships/hyperlink" Target="https://ethz.ch/staffnet/en/employment-and-work/employment/working-hours.html" TargetMode="External"/><Relationship Id="rId54" Type="http://schemas.openxmlformats.org/officeDocument/2006/relationships/hyperlink" Target="https://ethz.ch/staffnet/de/anstellung-und-arbeit/rund-um-die-anstellung/arbeitszeiten/einheitliche-umsetzung-arbeitszeit.html" TargetMode="External"/><Relationship Id="rId160" Type="http://schemas.openxmlformats.org/officeDocument/2006/relationships/hyperlink" Target="https://ethz.ch/content/dam/ethz/associates/services/Anstellung-Arbeiten/Downloads/files/rechtliches/Brochure_Personnel_Law.pdf" TargetMode="External"/><Relationship Id="rId57" Type="http://schemas.openxmlformats.org/officeDocument/2006/relationships/hyperlink" Target="https://ethz.ch/content/dam/ethz/associates/services/Anstellung-Arbeiten/Downloads/files/infos/Merkblatt_Einheitliche_Umsetzung_Arbeitszeit.pdf" TargetMode="External"/><Relationship Id="rId56" Type="http://schemas.openxmlformats.org/officeDocument/2006/relationships/hyperlink" Target="https://ethz.ch/staffnet/de/anstellung-und-arbeit/rund-um-die-anstellung/arbeitszeiten/einheitliche-umsetzung-arbeitszeit.html" TargetMode="External"/><Relationship Id="rId159" Type="http://schemas.openxmlformats.org/officeDocument/2006/relationships/hyperlink" Target="https://ethz.ch/staffnet/en/employment-and-work/employment/working-hours.html" TargetMode="External"/><Relationship Id="rId59" Type="http://schemas.openxmlformats.org/officeDocument/2006/relationships/hyperlink" Target="https://ethz.ch/content/dam/ethz/associates/services/Anstellung-Arbeiten/Downloads/files/infos/Merkblatt_Einheitliche_Umsetzung_Arbeitszeit.pdf" TargetMode="External"/><Relationship Id="rId154" Type="http://schemas.openxmlformats.org/officeDocument/2006/relationships/hyperlink" Target="https://ethz.ch/content/dam/ethz/associates/services/Anstellung-Arbeiten/Downloads/files/rechtliches/Brochure_Personnel_Law.pdf" TargetMode="External"/><Relationship Id="rId58" Type="http://schemas.openxmlformats.org/officeDocument/2006/relationships/hyperlink" Target="https://ethz.ch/staffnet/de/anstellung-und-arbeit/rund-um-die-anstellung/arbeitszeiten/einheitliche-umsetzung-arbeitszeit.html" TargetMode="External"/><Relationship Id="rId153" Type="http://schemas.openxmlformats.org/officeDocument/2006/relationships/hyperlink" Target="https://ethz.ch/staffnet/en/employment-and-work/employment/working-hours.html" TargetMode="External"/><Relationship Id="rId152" Type="http://schemas.openxmlformats.org/officeDocument/2006/relationships/hyperlink" Target="https://ethz.ch/content/dam/ethz/associates/services/Anstellung-Arbeiten/Downloads/files/rechtliches/Brochure_Personnel_Law.pdf" TargetMode="External"/><Relationship Id="rId151" Type="http://schemas.openxmlformats.org/officeDocument/2006/relationships/hyperlink" Target="https://ethz.ch/staffnet/en/employment-and-work/employment/working-hours.html" TargetMode="External"/><Relationship Id="rId158" Type="http://schemas.openxmlformats.org/officeDocument/2006/relationships/hyperlink" Target="https://ethz.ch/content/dam/ethz/associates/services/Anstellung-Arbeiten/Downloads/files/rechtliches/Brochure_Personnel_Law.pdf" TargetMode="External"/><Relationship Id="rId157" Type="http://schemas.openxmlformats.org/officeDocument/2006/relationships/hyperlink" Target="https://ethz.ch/staffnet/en/employment-and-work/employment/working-hours.html" TargetMode="External"/><Relationship Id="rId156" Type="http://schemas.openxmlformats.org/officeDocument/2006/relationships/hyperlink" Target="https://ethz.ch/content/dam/ethz/associates/services/Anstellung-Arbeiten/Downloads/files/rechtliches/Brochure_Personnel_Law.pdf" TargetMode="External"/><Relationship Id="rId155" Type="http://schemas.openxmlformats.org/officeDocument/2006/relationships/hyperlink" Target="https://ethz.ch/staffnet/en/employment-and-work/employment/working-hours.html" TargetMode="External"/><Relationship Id="rId107" Type="http://schemas.openxmlformats.org/officeDocument/2006/relationships/hyperlink" Target="https://scicomp.ethz.ch/wiki/Python" TargetMode="External"/><Relationship Id="rId106" Type="http://schemas.openxmlformats.org/officeDocument/2006/relationships/hyperlink" Target="https://scicomp.ethz.ch/wiki/Conda" TargetMode="External"/><Relationship Id="rId105" Type="http://schemas.openxmlformats.org/officeDocument/2006/relationships/hyperlink" Target="https://docs.hpc.ethz.ch/support/faq/" TargetMode="External"/><Relationship Id="rId104" Type="http://schemas.openxmlformats.org/officeDocument/2006/relationships/hyperlink" Target="https://scicomp.ethz.ch/wiki/FAQ" TargetMode="External"/><Relationship Id="rId109" Type="http://schemas.openxmlformats.org/officeDocument/2006/relationships/hyperlink" Target="https://library.ethz.ch/forschen-und-publizieren/datenmanagement-und-policies/e-pics-bildverwaltung.html" TargetMode="External"/><Relationship Id="rId108" Type="http://schemas.openxmlformats.org/officeDocument/2006/relationships/hyperlink" Target="https://library.ethz.ch/standorte-und-medien/medientypen/zeitschriften-zeitungen.html" TargetMode="External"/><Relationship Id="rId103" Type="http://schemas.openxmlformats.org/officeDocument/2006/relationships/hyperlink" Target="https://ethz.ch/staffnet/en/news-and-events/internal-news/archive/2022/04/asvz-cards-to-increase-in-price.html" TargetMode="External"/><Relationship Id="rId102" Type="http://schemas.openxmlformats.org/officeDocument/2006/relationships/hyperlink" Target="https://www.bi.id.ethz.ch/eAdressen/loginPre.do;eAdr=7b1Ie_Da25JOXBX0dWVC4c1RsTPbc80f2tlrMoLGiECdPPTASaRM!309772991?lang=en" TargetMode="External"/><Relationship Id="rId101" Type="http://schemas.openxmlformats.org/officeDocument/2006/relationships/hyperlink" Target="https://ethz.ch/staffnet/en/news-and-events/internal-news/archive/2022/01/tips-and-tricks-how-to-deal-with-locked-doors-at-eth.html" TargetMode="External"/><Relationship Id="rId100" Type="http://schemas.openxmlformats.org/officeDocument/2006/relationships/hyperlink" Target="https://ethz.ch/staffnet/en/service/eth-card.html" TargetMode="External"/><Relationship Id="rId129" Type="http://schemas.openxmlformats.org/officeDocument/2006/relationships/hyperlink" Target="https://ai.ethz.ch/about-us/how-to-find-us.html" TargetMode="External"/><Relationship Id="rId128" Type="http://schemas.openxmlformats.org/officeDocument/2006/relationships/hyperlink" Target="https://ethz.ch/en/utils/contact.html" TargetMode="External"/><Relationship Id="rId127" Type="http://schemas.openxmlformats.org/officeDocument/2006/relationships/hyperlink" Target="https://ethz.ch/en/utils/contact.html" TargetMode="External"/><Relationship Id="rId126" Type="http://schemas.openxmlformats.org/officeDocument/2006/relationships/hyperlink" Target="https://ethz.ch/staffnet/en/employment-and-work/employment/working-hours.html" TargetMode="External"/><Relationship Id="rId121" Type="http://schemas.openxmlformats.org/officeDocument/2006/relationships/hyperlink" Target="https://ethz.ch/content/dam/ethz/associates/services/Anstellung-Arbeiten/Downloads/files/rechtliches/Personalverordnung_ETH_Bereich.pdf" TargetMode="External"/><Relationship Id="rId120" Type="http://schemas.openxmlformats.org/officeDocument/2006/relationships/hyperlink" Target="https://ethz.ch/content/dam/ethz/associates/services/Anstellung-Arbeiten/Downloads/files/rechtliches/Personalverordnung_ETH_Bereich.pdf" TargetMode="External"/><Relationship Id="rId125" Type="http://schemas.openxmlformats.org/officeDocument/2006/relationships/hyperlink" Target="https://ethz.ch/staffnet/en/employment-and-work/employment/working-hours/recording-working-time-and-absences.html" TargetMode="External"/><Relationship Id="rId124" Type="http://schemas.openxmlformats.org/officeDocument/2006/relationships/hyperlink" Target="https://ethz.ch/students/en/news/academic-calendar.html" TargetMode="External"/><Relationship Id="rId123" Type="http://schemas.openxmlformats.org/officeDocument/2006/relationships/hyperlink" Target="https://ethz.ch/staffnet/en/employment-and-work/employment/working-hours/holidays-leave.html" TargetMode="External"/><Relationship Id="rId122" Type="http://schemas.openxmlformats.org/officeDocument/2006/relationships/hyperlink" Target="https://ethz.ch/staffnet/en/employment-and-work/employment/working-hours.html" TargetMode="External"/><Relationship Id="rId95" Type="http://schemas.openxmlformats.org/officeDocument/2006/relationships/hyperlink" Target="https://wayback.archive-it.org/19945/timemap/cdx?url=https://ethz.ch/staffnet/en/service/events/venues.html" TargetMode="External"/><Relationship Id="rId94" Type="http://schemas.openxmlformats.org/officeDocument/2006/relationships/hyperlink" Target="https://wayback.archive-it.org/19945/*/https://ethz.ch/staffnet/en/service/events/venues.html" TargetMode="External"/><Relationship Id="rId97" Type="http://schemas.openxmlformats.org/officeDocument/2006/relationships/hyperlink" Target="https://ethz.ch/staffnet/en/service/events/dozentenfoyer/abendveranstaltungen.html" TargetMode="External"/><Relationship Id="rId96" Type="http://schemas.openxmlformats.org/officeDocument/2006/relationships/hyperlink" Target="https://ethz.ch/staffnet/en/service/events/dozentenfoyer.html" TargetMode="External"/><Relationship Id="rId99" Type="http://schemas.openxmlformats.org/officeDocument/2006/relationships/hyperlink" Target="https://ethz.ch/staffnet/en/service/eth-card/replacement-card.html" TargetMode="External"/><Relationship Id="rId98" Type="http://schemas.openxmlformats.org/officeDocument/2006/relationships/hyperlink" Target="https://ethz.ch/staffnet/en/service/eth-card.html" TargetMode="External"/><Relationship Id="rId91" Type="http://schemas.openxmlformats.org/officeDocument/2006/relationships/hyperlink" Target="https://wayback.archive-it.org/19945/timemap/cdx?url=https://ethz.ch/staffnet/en/service/events/venues.html" TargetMode="External"/><Relationship Id="rId90" Type="http://schemas.openxmlformats.org/officeDocument/2006/relationships/hyperlink" Target="https://wayback.archive-it.org/19945/*/https://ethz.ch/staffnet/en/service/events/venues.html" TargetMode="External"/><Relationship Id="rId93" Type="http://schemas.openxmlformats.org/officeDocument/2006/relationships/hyperlink" Target="https://wayback.archive-it.org/all/*/https://ethz.ch/staffnet/en/service/events/venues.html" TargetMode="External"/><Relationship Id="rId92" Type="http://schemas.openxmlformats.org/officeDocument/2006/relationships/hyperlink" Target="https://ethz.ch/staffnet/en/service/rooms-and-buildings/foyers/dining-areas.html" TargetMode="External"/><Relationship Id="rId118" Type="http://schemas.openxmlformats.org/officeDocument/2006/relationships/hyperlink" Target="https://ethz.ch/content/dam/ethz/associates/services/Anstellung-Arbeiten/Downloads/files/rechtliches/Personalverordnung_ETH_Bereich.pdf" TargetMode="External"/><Relationship Id="rId117" Type="http://schemas.openxmlformats.org/officeDocument/2006/relationships/hyperlink" Target="https://ethz.ch/staffnet/en/employment-and-work/employment/working-hours/holidays-leave.html" TargetMode="External"/><Relationship Id="rId116" Type="http://schemas.openxmlformats.org/officeDocument/2006/relationships/hyperlink" Target="https://ethz.ch/staffnet/en/employment-and-work/employment/salary/family-allowance.html" TargetMode="External"/><Relationship Id="rId115" Type="http://schemas.openxmlformats.org/officeDocument/2006/relationships/hyperlink" Target="https://ethz.ch/staffnet/en/employment-and-work/employment/salary/family-allowance.html" TargetMode="External"/><Relationship Id="rId119" Type="http://schemas.openxmlformats.org/officeDocument/2006/relationships/hyperlink" Target="https://ethz.ch/content/dam/ethz/associates/services/Anstellung-Arbeiten/Downloads/files/rechtliches/Personalverordnung_ETH_Bereich.pdf" TargetMode="External"/><Relationship Id="rId110" Type="http://schemas.openxmlformats.org/officeDocument/2006/relationships/hyperlink" Target="https://library.ethz.ch/forschen-und-publizieren/datenmanagement-und-policies/e-pics-bildverwaltung.html" TargetMode="External"/><Relationship Id="rId114" Type="http://schemas.openxmlformats.org/officeDocument/2006/relationships/hyperlink" Target="https://ethz.ch/staffnet/en/employment-and-work/employment/salary/family-allowance.html" TargetMode="External"/><Relationship Id="rId113" Type="http://schemas.openxmlformats.org/officeDocument/2006/relationships/hyperlink" Target="https://ethz.ch/staffnet/en/employment-and-work/employment/salary/family-allowance.html" TargetMode="External"/><Relationship Id="rId112" Type="http://schemas.openxmlformats.org/officeDocument/2006/relationships/hyperlink" Target="https://ethz.ch/en/news-and-events/events.html" TargetMode="External"/><Relationship Id="rId111" Type="http://schemas.openxmlformats.org/officeDocument/2006/relationships/hyperlink" Target="https://ethz.ch/en/news-and-events/event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google-research-datasets/natural-questions" TargetMode="External"/><Relationship Id="rId2" Type="http://schemas.openxmlformats.org/officeDocument/2006/relationships/hyperlink" Target="https://huggingface.co/datasets/rajpurkar/squad" TargetMode="External"/><Relationship Id="rId3" Type="http://schemas.openxmlformats.org/officeDocument/2006/relationships/hyperlink" Target="https://github.com/facebookresearch/FiD" TargetMode="External"/><Relationship Id="rId4" Type="http://schemas.openxmlformats.org/officeDocument/2006/relationships/hyperlink" Target="https://huggingface.co/datasets/cais/mmlu" TargetMode="External"/><Relationship Id="rId5" Type="http://schemas.openxmlformats.org/officeDocument/2006/relationships/hyperlink" Target="https://github.com/harpribot/awesome-information-retrieval" TargetMode="External"/><Relationship Id="rId6" Type="http://schemas.openxmlformats.org/officeDocument/2006/relationships/hyperlink" Target="https://github.com/RenzeLou/Datasets-for-Question-Answering"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13"/>
    <col customWidth="1" min="3" max="3" width="19.5"/>
    <col customWidth="1" min="4" max="4" width="20.25"/>
    <col customWidth="1" min="5" max="5" width="19.88"/>
    <col customWidth="1" min="6" max="6" width="19.0"/>
    <col customWidth="1" min="7" max="7" width="13.5"/>
    <col customWidth="1" min="8" max="8" width="15.63"/>
    <col customWidth="1" min="9" max="9" width="20.63"/>
    <col customWidth="1" min="10" max="10" width="16.63"/>
    <col customWidth="1" min="11" max="11" width="18.13"/>
    <col customWidth="1" min="12" max="12" width="16.63"/>
    <col customWidth="1" min="13" max="13" width="22.88"/>
  </cols>
  <sheetData>
    <row r="1" ht="21.0" customHeight="1">
      <c r="A1" s="1" t="s">
        <v>0</v>
      </c>
      <c r="B1" s="1" t="s">
        <v>1</v>
      </c>
      <c r="C1" s="1" t="s">
        <v>2</v>
      </c>
      <c r="D1" s="1" t="s">
        <v>3</v>
      </c>
      <c r="E1" s="1" t="s">
        <v>4</v>
      </c>
      <c r="F1" s="1" t="s">
        <v>5</v>
      </c>
      <c r="G1" s="1" t="s">
        <v>6</v>
      </c>
      <c r="H1" s="1" t="s">
        <v>7</v>
      </c>
      <c r="I1" s="1" t="s">
        <v>8</v>
      </c>
      <c r="J1" s="1" t="s">
        <v>9</v>
      </c>
      <c r="K1" s="1" t="s">
        <v>10</v>
      </c>
      <c r="L1" s="1" t="s">
        <v>11</v>
      </c>
      <c r="M1" s="1" t="s">
        <v>12</v>
      </c>
    </row>
    <row r="2" ht="21.0" customHeight="1">
      <c r="A2" s="2" t="s">
        <v>13</v>
      </c>
      <c r="B2" s="3" t="s">
        <v>14</v>
      </c>
      <c r="C2" s="4" t="s">
        <v>15</v>
      </c>
      <c r="D2" s="4" t="s">
        <v>16</v>
      </c>
      <c r="E2" s="2" t="s">
        <v>17</v>
      </c>
      <c r="F2" s="3" t="s">
        <v>18</v>
      </c>
      <c r="H2" s="5" t="str">
        <f t="shared" ref="H2:H4" si="1">"https://wayback.archive-it.org/all/*/"&amp;C2</f>
        <v>https://wayback.archive-it.org/all/*/https://ethz.ch/staffnet/de/anstellung-und-arbeit/rund-um-die-anstellung/arbeitszeiten/zeit-und-abwesenheitserfassung.html</v>
      </c>
      <c r="I2" s="6" t="str">
        <f t="shared" ref="I2:I4" si="2">"https://wayback.archive-it.org/19945/*/"&amp;C2</f>
        <v>https://wayback.archive-it.org/19945/*/https://ethz.ch/staffnet/de/anstellung-und-arbeit/rund-um-die-anstellung/arbeitszeiten/zeit-und-abwesenheitserfassung.html</v>
      </c>
      <c r="J2" s="6" t="str">
        <f t="shared" ref="J2:J4" si="3">"https://wayback.archive-it.org/19945/timemap/cdx?url="&amp;C2</f>
        <v>https://wayback.archive-it.org/19945/timemap/cdx?url=https://ethz.ch/staffnet/de/anstellung-und-arbeit/rund-um-die-anstellung/arbeitszeiten/zeit-und-abwesenheitserfassung.html</v>
      </c>
      <c r="K2" s="5" t="str">
        <f t="shared" ref="K2:K4" si="4">"https://wayback.archive-it.org/all/*/"&amp;D2</f>
        <v>https://wayback.archive-it.org/all/*/https://ethz.ch/content/dam/ethz/associates/services/Anstellung-Arbeiten/Downloads/files/rechtliches/Reglement_zur_Erfassung_der_Arbeitszeit_und_Abwesenheiten.pdf</v>
      </c>
      <c r="L2" s="6" t="str">
        <f t="shared" ref="L2:L4" si="5">"https://wayback.archive-it.org/19945/*/"&amp;D2</f>
        <v>https://wayback.archive-it.org/19945/*/https://ethz.ch/content/dam/ethz/associates/services/Anstellung-Arbeiten/Downloads/files/rechtliches/Reglement_zur_Erfassung_der_Arbeitszeit_und_Abwesenheiten.pdf</v>
      </c>
      <c r="M2" s="6" t="str">
        <f t="shared" ref="M2:M4" si="6">"https://wayback.archive-it.org/19945/timemap/cdx?url="&amp;D2</f>
        <v>https://wayback.archive-it.org/19945/timemap/cdx?url=https://ethz.ch/content/dam/ethz/associates/services/Anstellung-Arbeiten/Downloads/files/rechtliches/Reglement_zur_Erfassung_der_Arbeitszeit_und_Abwesenheiten.pdf</v>
      </c>
    </row>
    <row r="3" ht="21.0" customHeight="1">
      <c r="A3" s="2" t="s">
        <v>19</v>
      </c>
      <c r="B3" s="3" t="s">
        <v>14</v>
      </c>
      <c r="C3" s="7" t="s">
        <v>15</v>
      </c>
      <c r="D3" s="7" t="s">
        <v>16</v>
      </c>
      <c r="E3" s="2" t="s">
        <v>20</v>
      </c>
      <c r="F3" s="3" t="s">
        <v>18</v>
      </c>
      <c r="H3" s="5" t="str">
        <f t="shared" si="1"/>
        <v>https://wayback.archive-it.org/all/*/https://ethz.ch/staffnet/de/anstellung-und-arbeit/rund-um-die-anstellung/arbeitszeiten/zeit-und-abwesenheitserfassung.html</v>
      </c>
      <c r="I3" s="6" t="str">
        <f t="shared" si="2"/>
        <v>https://wayback.archive-it.org/19945/*/https://ethz.ch/staffnet/de/anstellung-und-arbeit/rund-um-die-anstellung/arbeitszeiten/zeit-und-abwesenheitserfassung.html</v>
      </c>
      <c r="J3" s="6" t="str">
        <f t="shared" si="3"/>
        <v>https://wayback.archive-it.org/19945/timemap/cdx?url=https://ethz.ch/staffnet/de/anstellung-und-arbeit/rund-um-die-anstellung/arbeitszeiten/zeit-und-abwesenheitserfassung.html</v>
      </c>
      <c r="K3" s="5" t="str">
        <f t="shared" si="4"/>
        <v>https://wayback.archive-it.org/all/*/https://ethz.ch/content/dam/ethz/associates/services/Anstellung-Arbeiten/Downloads/files/rechtliches/Reglement_zur_Erfassung_der_Arbeitszeit_und_Abwesenheiten.pdf</v>
      </c>
      <c r="L3" s="8" t="str">
        <f t="shared" si="5"/>
        <v>https://wayback.archive-it.org/19945/*/https://ethz.ch/content/dam/ethz/associates/services/Anstellung-Arbeiten/Downloads/files/rechtliches/Reglement_zur_Erfassung_der_Arbeitszeit_und_Abwesenheiten.pdf</v>
      </c>
      <c r="M3" s="8" t="str">
        <f t="shared" si="6"/>
        <v>https://wayback.archive-it.org/19945/timemap/cdx?url=https://ethz.ch/content/dam/ethz/associates/services/Anstellung-Arbeiten/Downloads/files/rechtliches/Reglement_zur_Erfassung_der_Arbeitszeit_und_Abwesenheiten.pdf</v>
      </c>
    </row>
    <row r="4" ht="21.0" customHeight="1">
      <c r="A4" s="2" t="s">
        <v>21</v>
      </c>
      <c r="B4" s="3" t="s">
        <v>14</v>
      </c>
      <c r="C4" s="4" t="s">
        <v>15</v>
      </c>
      <c r="D4" s="9" t="s">
        <v>16</v>
      </c>
      <c r="E4" s="2" t="s">
        <v>22</v>
      </c>
      <c r="F4" s="3" t="s">
        <v>18</v>
      </c>
      <c r="H4" s="5" t="str">
        <f t="shared" si="1"/>
        <v>https://wayback.archive-it.org/all/*/https://ethz.ch/staffnet/de/anstellung-und-arbeit/rund-um-die-anstellung/arbeitszeiten/zeit-und-abwesenheitserfassung.html</v>
      </c>
      <c r="I4" s="6" t="str">
        <f t="shared" si="2"/>
        <v>https://wayback.archive-it.org/19945/*/https://ethz.ch/staffnet/de/anstellung-und-arbeit/rund-um-die-anstellung/arbeitszeiten/zeit-und-abwesenheitserfassung.html</v>
      </c>
      <c r="J4" s="6" t="str">
        <f t="shared" si="3"/>
        <v>https://wayback.archive-it.org/19945/timemap/cdx?url=https://ethz.ch/staffnet/de/anstellung-und-arbeit/rund-um-die-anstellung/arbeitszeiten/zeit-und-abwesenheitserfassung.html</v>
      </c>
      <c r="K4" s="5" t="str">
        <f t="shared" si="4"/>
        <v>https://wayback.archive-it.org/all/*/https://ethz.ch/content/dam/ethz/associates/services/Anstellung-Arbeiten/Downloads/files/rechtliches/Reglement_zur_Erfassung_der_Arbeitszeit_und_Abwesenheiten.pdf</v>
      </c>
      <c r="L4" s="8" t="str">
        <f t="shared" si="5"/>
        <v>https://wayback.archive-it.org/19945/*/https://ethz.ch/content/dam/ethz/associates/services/Anstellung-Arbeiten/Downloads/files/rechtliches/Reglement_zur_Erfassung_der_Arbeitszeit_und_Abwesenheiten.pdf</v>
      </c>
      <c r="M4" s="8" t="str">
        <f t="shared" si="6"/>
        <v>https://wayback.archive-it.org/19945/timemap/cdx?url=https://ethz.ch/content/dam/ethz/associates/services/Anstellung-Arbeiten/Downloads/files/rechtliches/Reglement_zur_Erfassung_der_Arbeitszeit_und_Abwesenheiten.pdf</v>
      </c>
    </row>
    <row r="5" ht="21.0" customHeight="1">
      <c r="A5" s="2" t="s">
        <v>23</v>
      </c>
      <c r="B5" s="3" t="s">
        <v>24</v>
      </c>
      <c r="C5" s="10" t="s">
        <v>25</v>
      </c>
      <c r="E5" s="2" t="s">
        <v>26</v>
      </c>
      <c r="F5" s="3" t="s">
        <v>27</v>
      </c>
      <c r="H5" s="11" t="s">
        <v>28</v>
      </c>
      <c r="I5" s="12" t="s">
        <v>29</v>
      </c>
      <c r="J5" s="6" t="s">
        <v>30</v>
      </c>
      <c r="K5" s="13"/>
    </row>
    <row r="6" ht="21.0" customHeight="1">
      <c r="A6" s="2" t="s">
        <v>31</v>
      </c>
      <c r="B6" s="3" t="s">
        <v>24</v>
      </c>
      <c r="C6" s="10" t="s">
        <v>25</v>
      </c>
      <c r="E6" s="2" t="s">
        <v>32</v>
      </c>
      <c r="F6" s="3" t="s">
        <v>33</v>
      </c>
      <c r="H6" s="11" t="s">
        <v>28</v>
      </c>
      <c r="I6" s="12" t="s">
        <v>29</v>
      </c>
      <c r="J6" s="6" t="s">
        <v>30</v>
      </c>
      <c r="K6" s="13"/>
    </row>
    <row r="7" ht="21.0" customHeight="1">
      <c r="A7" s="2" t="s">
        <v>34</v>
      </c>
      <c r="B7" s="3" t="s">
        <v>24</v>
      </c>
      <c r="C7" s="10" t="s">
        <v>25</v>
      </c>
      <c r="E7" s="2" t="s">
        <v>35</v>
      </c>
      <c r="F7" s="3" t="s">
        <v>27</v>
      </c>
      <c r="H7" s="11" t="s">
        <v>28</v>
      </c>
      <c r="I7" s="12" t="s">
        <v>29</v>
      </c>
      <c r="J7" s="6" t="s">
        <v>30</v>
      </c>
      <c r="K7" s="13"/>
    </row>
    <row r="8" ht="21.0" customHeight="1">
      <c r="A8" s="2" t="s">
        <v>36</v>
      </c>
      <c r="B8" s="3" t="s">
        <v>24</v>
      </c>
      <c r="C8" s="10" t="s">
        <v>25</v>
      </c>
      <c r="D8" s="2"/>
      <c r="E8" s="2" t="s">
        <v>37</v>
      </c>
      <c r="F8" s="3" t="s">
        <v>27</v>
      </c>
      <c r="H8" s="11" t="s">
        <v>28</v>
      </c>
      <c r="I8" s="12" t="s">
        <v>29</v>
      </c>
      <c r="J8" s="6" t="s">
        <v>30</v>
      </c>
      <c r="K8" s="13"/>
    </row>
    <row r="9" ht="21.0" customHeight="1">
      <c r="A9" s="2" t="s">
        <v>38</v>
      </c>
      <c r="B9" s="3" t="s">
        <v>24</v>
      </c>
      <c r="C9" s="14" t="s">
        <v>25</v>
      </c>
      <c r="E9" s="2" t="s">
        <v>39</v>
      </c>
      <c r="F9" s="3" t="s">
        <v>27</v>
      </c>
      <c r="H9" s="11" t="s">
        <v>28</v>
      </c>
      <c r="I9" s="12" t="s">
        <v>29</v>
      </c>
      <c r="J9" s="6" t="s">
        <v>30</v>
      </c>
      <c r="K9" s="13"/>
    </row>
    <row r="10" ht="21.0" customHeight="1">
      <c r="A10" s="2" t="s">
        <v>40</v>
      </c>
      <c r="B10" s="3" t="s">
        <v>24</v>
      </c>
      <c r="C10" s="4" t="s">
        <v>41</v>
      </c>
      <c r="E10" s="2" t="s">
        <v>42</v>
      </c>
      <c r="F10" s="3" t="s">
        <v>27</v>
      </c>
      <c r="H10" s="5" t="str">
        <f t="shared" ref="H10:H40" si="7">"https://wayback.archive-it.org/all/*/"&amp;C10</f>
        <v>https://wayback.archive-it.org/all/*/https://ethz.ch/staffnet/en/it-services/catalogue/printing/self-service/printer-locations.html#/</v>
      </c>
      <c r="I10" s="6" t="str">
        <f t="shared" ref="I10:I15" si="8">"https://wayback.archive-it.org/19945/*/"&amp;C10</f>
        <v>https://wayback.archive-it.org/19945/*/https://ethz.ch/staffnet/en/it-services/catalogue/printing/self-service/printer-locations.html#/</v>
      </c>
      <c r="J10" s="6" t="str">
        <f t="shared" ref="J10:J15" si="9">"https://wayback.archive-it.org/19945/timemap/cdx?url="&amp;C10</f>
        <v>https://wayback.archive-it.org/19945/timemap/cdx?url=https://ethz.ch/staffnet/en/it-services/catalogue/printing/self-service/printer-locations.html#/</v>
      </c>
      <c r="K10" s="13"/>
    </row>
    <row r="11" ht="21.0" customHeight="1">
      <c r="A11" s="2" t="s">
        <v>43</v>
      </c>
      <c r="B11" s="3" t="s">
        <v>14</v>
      </c>
      <c r="C11" s="9" t="s">
        <v>44</v>
      </c>
      <c r="E11" s="2" t="s">
        <v>45</v>
      </c>
      <c r="F11" s="3" t="s">
        <v>27</v>
      </c>
      <c r="H11" s="5" t="str">
        <f t="shared" si="7"/>
        <v>https://wayback.archive-it.org/all/*/https://ethz.ch/staffnet/de/anstellung-und-arbeit/rund-um-die-anstellung/lohn/familienzulagen.html</v>
      </c>
      <c r="I11" s="6" t="str">
        <f t="shared" si="8"/>
        <v>https://wayback.archive-it.org/19945/*/https://ethz.ch/staffnet/de/anstellung-und-arbeit/rund-um-die-anstellung/lohn/familienzulagen.html</v>
      </c>
      <c r="J11" s="6" t="str">
        <f t="shared" si="9"/>
        <v>https://wayback.archive-it.org/19945/timemap/cdx?url=https://ethz.ch/staffnet/de/anstellung-und-arbeit/rund-um-die-anstellung/lohn/familienzulagen.html</v>
      </c>
      <c r="K11" s="13"/>
    </row>
    <row r="12" ht="21.0" customHeight="1">
      <c r="A12" s="2" t="s">
        <v>46</v>
      </c>
      <c r="B12" s="3" t="s">
        <v>14</v>
      </c>
      <c r="C12" s="9" t="s">
        <v>47</v>
      </c>
      <c r="E12" s="2" t="s">
        <v>48</v>
      </c>
      <c r="F12" s="3" t="s">
        <v>33</v>
      </c>
      <c r="G12" s="2" t="s">
        <v>49</v>
      </c>
      <c r="H12" s="5" t="str">
        <f t="shared" si="7"/>
        <v>https://wayback.archive-it.org/all/*/https://ethz.ch/staffnet/de/service/kommunikation/corporate-design/farbe.html</v>
      </c>
      <c r="I12" s="6" t="str">
        <f t="shared" si="8"/>
        <v>https://wayback.archive-it.org/19945/*/https://ethz.ch/staffnet/de/service/kommunikation/corporate-design/farbe.html</v>
      </c>
      <c r="J12" s="6" t="str">
        <f t="shared" si="9"/>
        <v>https://wayback.archive-it.org/19945/timemap/cdx?url=https://ethz.ch/staffnet/de/service/kommunikation/corporate-design/farbe.html</v>
      </c>
      <c r="K12" s="13"/>
    </row>
    <row r="13" ht="21.0" customHeight="1">
      <c r="A13" s="2" t="s">
        <v>50</v>
      </c>
      <c r="B13" s="3" t="s">
        <v>24</v>
      </c>
      <c r="C13" s="4" t="s">
        <v>51</v>
      </c>
      <c r="D13" s="7" t="s">
        <v>52</v>
      </c>
      <c r="E13" s="2" t="s">
        <v>53</v>
      </c>
      <c r="F13" s="3" t="s">
        <v>27</v>
      </c>
      <c r="G13" s="2" t="s">
        <v>54</v>
      </c>
      <c r="H13" s="5" t="str">
        <f t="shared" si="7"/>
        <v>https://wayback.archive-it.org/all/*/https://ethz.ch/staffnet/en/service/communication/corporate-design/templates.html</v>
      </c>
      <c r="I13" s="6" t="str">
        <f t="shared" si="8"/>
        <v>https://wayback.archive-it.org/19945/*/https://ethz.ch/staffnet/en/service/communication/corporate-design/templates.html</v>
      </c>
      <c r="J13" s="6" t="str">
        <f t="shared" si="9"/>
        <v>https://wayback.archive-it.org/19945/timemap/cdx?url=https://ethz.ch/staffnet/en/service/communication/corporate-design/templates.html</v>
      </c>
      <c r="K13" s="5" t="str">
        <f>"https://wayback.archive-it.org/all/*/"&amp;D13</f>
        <v>https://wayback.archive-it.org/all/*/https://ethz.ch/content/dam/ethz/associates/services/Service/kommunikation/cd/template-downloadbereich/ETH-Praesentation-Template.zip</v>
      </c>
      <c r="L13" s="8" t="str">
        <f>"https://wayback.archive-it.org/19945/*/"&amp;D13</f>
        <v>https://wayback.archive-it.org/19945/*/https://ethz.ch/content/dam/ethz/associates/services/Service/kommunikation/cd/template-downloadbereich/ETH-Praesentation-Template.zip</v>
      </c>
      <c r="M13" s="8" t="str">
        <f>"https://wayback.archive-it.org/19945/timemap/cdx?url="&amp;D13</f>
        <v>https://wayback.archive-it.org/19945/timemap/cdx?url=https://ethz.ch/content/dam/ethz/associates/services/Service/kommunikation/cd/template-downloadbereich/ETH-Praesentation-Template.zip</v>
      </c>
    </row>
    <row r="14" ht="21.0" customHeight="1">
      <c r="A14" s="2" t="s">
        <v>55</v>
      </c>
      <c r="B14" s="3" t="s">
        <v>14</v>
      </c>
      <c r="C14" s="4" t="s">
        <v>56</v>
      </c>
      <c r="E14" s="2" t="s">
        <v>57</v>
      </c>
      <c r="F14" s="3" t="s">
        <v>18</v>
      </c>
      <c r="G14" s="2" t="s">
        <v>58</v>
      </c>
      <c r="H14" s="5" t="str">
        <f t="shared" si="7"/>
        <v>https://wayback.archive-it.org/all/*/https://ethz.ch/staffnet/en/it-services/documents/useful-links.html</v>
      </c>
      <c r="I14" s="6" t="str">
        <f t="shared" si="8"/>
        <v>https://wayback.archive-it.org/19945/*/https://ethz.ch/staffnet/en/it-services/documents/useful-links.html</v>
      </c>
      <c r="J14" s="6" t="str">
        <f t="shared" si="9"/>
        <v>https://wayback.archive-it.org/19945/timemap/cdx?url=https://ethz.ch/staffnet/en/it-services/documents/useful-links.html</v>
      </c>
      <c r="K14" s="13"/>
    </row>
    <row r="15" ht="21.0" customHeight="1">
      <c r="A15" s="2" t="s">
        <v>59</v>
      </c>
      <c r="B15" s="3" t="s">
        <v>14</v>
      </c>
      <c r="C15" s="4" t="s">
        <v>56</v>
      </c>
      <c r="D15" s="13"/>
      <c r="E15" s="2" t="s">
        <v>60</v>
      </c>
      <c r="F15" s="3" t="s">
        <v>27</v>
      </c>
      <c r="H15" s="5" t="str">
        <f t="shared" si="7"/>
        <v>https://wayback.archive-it.org/all/*/https://ethz.ch/staffnet/en/it-services/documents/useful-links.html</v>
      </c>
      <c r="I15" s="6" t="str">
        <f t="shared" si="8"/>
        <v>https://wayback.archive-it.org/19945/*/https://ethz.ch/staffnet/en/it-services/documents/useful-links.html</v>
      </c>
      <c r="J15" s="6" t="str">
        <f t="shared" si="9"/>
        <v>https://wayback.archive-it.org/19945/timemap/cdx?url=https://ethz.ch/staffnet/en/it-services/documents/useful-links.html</v>
      </c>
      <c r="K15" s="13"/>
    </row>
    <row r="16" ht="21.0" customHeight="1">
      <c r="A16" s="2" t="s">
        <v>61</v>
      </c>
      <c r="B16" s="3" t="s">
        <v>14</v>
      </c>
      <c r="C16" s="10" t="s">
        <v>62</v>
      </c>
      <c r="E16" s="2" t="s">
        <v>63</v>
      </c>
      <c r="F16" s="15"/>
      <c r="H16" s="5" t="str">
        <f t="shared" si="7"/>
        <v>https://wayback.archive-it.org/all/*/https://www.isg.inf.ethz.ch/Main/HelpSoftware</v>
      </c>
      <c r="I16" s="14" t="str">
        <f>"https://wayback.archive-it.org/18167/*/"&amp;C16</f>
        <v>https://wayback.archive-it.org/18167/*/https://www.isg.inf.ethz.ch/Main/HelpSoftware</v>
      </c>
      <c r="J16" s="6" t="str">
        <f>"https://wayback.archive-it.org/18167/timemap/cdx?url="&amp;C16</f>
        <v>https://wayback.archive-it.org/18167/timemap/cdx?url=https://www.isg.inf.ethz.ch/Main/HelpSoftware</v>
      </c>
      <c r="K16" s="13"/>
    </row>
    <row r="17" ht="21.0" customHeight="1">
      <c r="A17" s="2" t="s">
        <v>64</v>
      </c>
      <c r="B17" s="3" t="s">
        <v>14</v>
      </c>
      <c r="C17" s="9" t="s">
        <v>65</v>
      </c>
      <c r="D17" s="14" t="s">
        <v>66</v>
      </c>
      <c r="E17" s="5" t="s">
        <v>67</v>
      </c>
      <c r="F17" s="3" t="s">
        <v>18</v>
      </c>
      <c r="G17" s="2" t="s">
        <v>68</v>
      </c>
      <c r="H17" s="5" t="str">
        <f t="shared" si="7"/>
        <v>https://wayback.archive-it.org/all/*/https://ethz.ch/staffnet/de/it-services/katalog.html#/detail/282</v>
      </c>
      <c r="I17" s="6" t="str">
        <f t="shared" ref="I17:I40" si="10">"https://wayback.archive-it.org/19945/*/"&amp;C17</f>
        <v>https://wayback.archive-it.org/19945/*/https://ethz.ch/staffnet/de/it-services/katalog.html#/detail/282</v>
      </c>
      <c r="J17" s="6" t="str">
        <f t="shared" ref="J17:J40" si="11">"https://wayback.archive-it.org/19945/timemap/cdx?url="&amp;C17</f>
        <v>https://wayback.archive-it.org/19945/timemap/cdx?url=https://ethz.ch/staffnet/de/it-services/katalog.html#/detail/282</v>
      </c>
      <c r="K17" s="5" t="s">
        <v>69</v>
      </c>
      <c r="L17" s="12" t="s">
        <v>70</v>
      </c>
      <c r="M17" s="6" t="s">
        <v>71</v>
      </c>
    </row>
    <row r="18" ht="21.0" customHeight="1">
      <c r="A18" s="2" t="s">
        <v>72</v>
      </c>
      <c r="B18" s="3" t="s">
        <v>24</v>
      </c>
      <c r="C18" s="9" t="s">
        <v>73</v>
      </c>
      <c r="E18" s="2" t="s">
        <v>74</v>
      </c>
      <c r="F18" s="3" t="s">
        <v>27</v>
      </c>
      <c r="H18" s="5" t="str">
        <f t="shared" si="7"/>
        <v>https://wayback.archive-it.org/all/*/https://ethz.ch/staffnet/en/employment-and-work/employment/offers-and-benefits.html</v>
      </c>
      <c r="I18" s="6" t="str">
        <f t="shared" si="10"/>
        <v>https://wayback.archive-it.org/19945/*/https://ethz.ch/staffnet/en/employment-and-work/employment/offers-and-benefits.html</v>
      </c>
      <c r="J18" s="6" t="str">
        <f t="shared" si="11"/>
        <v>https://wayback.archive-it.org/19945/timemap/cdx?url=https://ethz.ch/staffnet/en/employment-and-work/employment/offers-and-benefits.html</v>
      </c>
      <c r="K18" s="13"/>
    </row>
    <row r="19" ht="21.0" customHeight="1">
      <c r="A19" s="2" t="s">
        <v>75</v>
      </c>
      <c r="B19" s="3" t="s">
        <v>24</v>
      </c>
      <c r="C19" s="7" t="s">
        <v>76</v>
      </c>
      <c r="E19" s="13" t="s">
        <v>77</v>
      </c>
      <c r="F19" s="3" t="s">
        <v>18</v>
      </c>
      <c r="H19" s="5" t="str">
        <f t="shared" si="7"/>
        <v>https://wayback.archive-it.org/all/*/https://ethz.ch/staffnet/en/service/mobility/parkierung.html</v>
      </c>
      <c r="I19" s="6" t="str">
        <f t="shared" si="10"/>
        <v>https://wayback.archive-it.org/19945/*/https://ethz.ch/staffnet/en/service/mobility/parkierung.html</v>
      </c>
      <c r="J19" s="6" t="str">
        <f t="shared" si="11"/>
        <v>https://wayback.archive-it.org/19945/timemap/cdx?url=https://ethz.ch/staffnet/en/service/mobility/parkierung.html</v>
      </c>
      <c r="K19" s="13"/>
    </row>
    <row r="20" ht="21.0" customHeight="1">
      <c r="A20" s="2" t="s">
        <v>78</v>
      </c>
      <c r="B20" s="3" t="s">
        <v>14</v>
      </c>
      <c r="C20" s="9" t="s">
        <v>79</v>
      </c>
      <c r="D20" s="9" t="s">
        <v>80</v>
      </c>
      <c r="E20" s="2" t="s">
        <v>81</v>
      </c>
      <c r="F20" s="3" t="s">
        <v>27</v>
      </c>
      <c r="G20" s="5" t="s">
        <v>82</v>
      </c>
      <c r="H20" s="5" t="str">
        <f t="shared" si="7"/>
        <v>https://wayback.archive-it.org/all/*/https://ethz.ch/content/dam/ethz/associates/services/Anstellung-Arbeiten/Downloads/files/infos/Merkblatt_Einheitliche_Umsetzung_Arbeitszeit.pdf</v>
      </c>
      <c r="I20" s="6" t="str">
        <f t="shared" si="10"/>
        <v>https://wayback.archive-it.org/19945/*/https://ethz.ch/content/dam/ethz/associates/services/Anstellung-Arbeiten/Downloads/files/infos/Merkblatt_Einheitliche_Umsetzung_Arbeitszeit.pdf</v>
      </c>
      <c r="J20" s="6" t="str">
        <f t="shared" si="11"/>
        <v>https://wayback.archive-it.org/19945/timemap/cdx?url=https://ethz.ch/content/dam/ethz/associates/services/Anstellung-Arbeiten/Downloads/files/infos/Merkblatt_Einheitliche_Umsetzung_Arbeitszeit.pdf</v>
      </c>
      <c r="K20" s="5" t="str">
        <f t="shared" ref="K20:K37" si="12">"https://wayback.archive-it.org/all/*/"&amp;D20</f>
        <v>https://wayback.archive-it.org/all/*/https://ethz.ch/staffnet/de/anstellung-und-arbeit/rund-um-die-anstellung/arbeitszeiten/einheitliche-umsetzung-arbeitszeit.html</v>
      </c>
      <c r="L20" s="8" t="str">
        <f t="shared" ref="L20:L37" si="13">"https://wayback.archive-it.org/19945/*/"&amp;D20</f>
        <v>https://wayback.archive-it.org/19945/*/https://ethz.ch/staffnet/de/anstellung-und-arbeit/rund-um-die-anstellung/arbeitszeiten/einheitliche-umsetzung-arbeitszeit.html</v>
      </c>
      <c r="M20" s="8" t="str">
        <f t="shared" ref="M20:M37" si="14">"https://wayback.archive-it.org/19945/timemap/cdx?url="&amp;D20</f>
        <v>https://wayback.archive-it.org/19945/timemap/cdx?url=https://ethz.ch/staffnet/de/anstellung-und-arbeit/rund-um-die-anstellung/arbeitszeiten/einheitliche-umsetzung-arbeitszeit.html</v>
      </c>
    </row>
    <row r="21" ht="21.0" customHeight="1">
      <c r="A21" s="2" t="s">
        <v>83</v>
      </c>
      <c r="B21" s="3" t="s">
        <v>14</v>
      </c>
      <c r="C21" s="9" t="s">
        <v>79</v>
      </c>
      <c r="D21" s="9" t="s">
        <v>80</v>
      </c>
      <c r="E21" s="2" t="s">
        <v>84</v>
      </c>
      <c r="F21" s="3" t="s">
        <v>27</v>
      </c>
      <c r="H21" s="5" t="str">
        <f t="shared" si="7"/>
        <v>https://wayback.archive-it.org/all/*/https://ethz.ch/content/dam/ethz/associates/services/Anstellung-Arbeiten/Downloads/files/infos/Merkblatt_Einheitliche_Umsetzung_Arbeitszeit.pdf</v>
      </c>
      <c r="I21" s="6" t="str">
        <f t="shared" si="10"/>
        <v>https://wayback.archive-it.org/19945/*/https://ethz.ch/content/dam/ethz/associates/services/Anstellung-Arbeiten/Downloads/files/infos/Merkblatt_Einheitliche_Umsetzung_Arbeitszeit.pdf</v>
      </c>
      <c r="J21" s="6" t="str">
        <f t="shared" si="11"/>
        <v>https://wayback.archive-it.org/19945/timemap/cdx?url=https://ethz.ch/content/dam/ethz/associates/services/Anstellung-Arbeiten/Downloads/files/infos/Merkblatt_Einheitliche_Umsetzung_Arbeitszeit.pdf</v>
      </c>
      <c r="K21" s="5" t="str">
        <f t="shared" si="12"/>
        <v>https://wayback.archive-it.org/all/*/https://ethz.ch/staffnet/de/anstellung-und-arbeit/rund-um-die-anstellung/arbeitszeiten/einheitliche-umsetzung-arbeitszeit.html</v>
      </c>
      <c r="L21" s="8" t="str">
        <f t="shared" si="13"/>
        <v>https://wayback.archive-it.org/19945/*/https://ethz.ch/staffnet/de/anstellung-und-arbeit/rund-um-die-anstellung/arbeitszeiten/einheitliche-umsetzung-arbeitszeit.html</v>
      </c>
      <c r="M21" s="8" t="str">
        <f t="shared" si="14"/>
        <v>https://wayback.archive-it.org/19945/timemap/cdx?url=https://ethz.ch/staffnet/de/anstellung-und-arbeit/rund-um-die-anstellung/arbeitszeiten/einheitliche-umsetzung-arbeitszeit.html</v>
      </c>
    </row>
    <row r="22" ht="21.0" customHeight="1">
      <c r="A22" s="2" t="s">
        <v>85</v>
      </c>
      <c r="B22" s="3" t="s">
        <v>14</v>
      </c>
      <c r="C22" s="9" t="s">
        <v>79</v>
      </c>
      <c r="D22" s="9" t="s">
        <v>80</v>
      </c>
      <c r="E22" s="2" t="s">
        <v>86</v>
      </c>
      <c r="F22" s="3" t="s">
        <v>27</v>
      </c>
      <c r="H22" s="5" t="str">
        <f t="shared" si="7"/>
        <v>https://wayback.archive-it.org/all/*/https://ethz.ch/content/dam/ethz/associates/services/Anstellung-Arbeiten/Downloads/files/infos/Merkblatt_Einheitliche_Umsetzung_Arbeitszeit.pdf</v>
      </c>
      <c r="I22" s="6" t="str">
        <f t="shared" si="10"/>
        <v>https://wayback.archive-it.org/19945/*/https://ethz.ch/content/dam/ethz/associates/services/Anstellung-Arbeiten/Downloads/files/infos/Merkblatt_Einheitliche_Umsetzung_Arbeitszeit.pdf</v>
      </c>
      <c r="J22" s="6" t="str">
        <f t="shared" si="11"/>
        <v>https://wayback.archive-it.org/19945/timemap/cdx?url=https://ethz.ch/content/dam/ethz/associates/services/Anstellung-Arbeiten/Downloads/files/infos/Merkblatt_Einheitliche_Umsetzung_Arbeitszeit.pdf</v>
      </c>
      <c r="K22" s="5" t="str">
        <f t="shared" si="12"/>
        <v>https://wayback.archive-it.org/all/*/https://ethz.ch/staffnet/de/anstellung-und-arbeit/rund-um-die-anstellung/arbeitszeiten/einheitliche-umsetzung-arbeitszeit.html</v>
      </c>
      <c r="L22" s="8" t="str">
        <f t="shared" si="13"/>
        <v>https://wayback.archive-it.org/19945/*/https://ethz.ch/staffnet/de/anstellung-und-arbeit/rund-um-die-anstellung/arbeitszeiten/einheitliche-umsetzung-arbeitszeit.html</v>
      </c>
      <c r="M22" s="8" t="str">
        <f t="shared" si="14"/>
        <v>https://wayback.archive-it.org/19945/timemap/cdx?url=https://ethz.ch/staffnet/de/anstellung-und-arbeit/rund-um-die-anstellung/arbeitszeiten/einheitliche-umsetzung-arbeitszeit.html</v>
      </c>
    </row>
    <row r="23" ht="21.0" customHeight="1">
      <c r="A23" s="2" t="s">
        <v>87</v>
      </c>
      <c r="B23" s="3" t="s">
        <v>14</v>
      </c>
      <c r="C23" s="9" t="s">
        <v>79</v>
      </c>
      <c r="D23" s="9" t="s">
        <v>80</v>
      </c>
      <c r="E23" s="2" t="s">
        <v>88</v>
      </c>
      <c r="F23" s="3" t="s">
        <v>27</v>
      </c>
      <c r="G23" s="2" t="s">
        <v>89</v>
      </c>
      <c r="H23" s="5" t="str">
        <f t="shared" si="7"/>
        <v>https://wayback.archive-it.org/all/*/https://ethz.ch/content/dam/ethz/associates/services/Anstellung-Arbeiten/Downloads/files/infos/Merkblatt_Einheitliche_Umsetzung_Arbeitszeit.pdf</v>
      </c>
      <c r="I23" s="6" t="str">
        <f t="shared" si="10"/>
        <v>https://wayback.archive-it.org/19945/*/https://ethz.ch/content/dam/ethz/associates/services/Anstellung-Arbeiten/Downloads/files/infos/Merkblatt_Einheitliche_Umsetzung_Arbeitszeit.pdf</v>
      </c>
      <c r="J23" s="6" t="str">
        <f t="shared" si="11"/>
        <v>https://wayback.archive-it.org/19945/timemap/cdx?url=https://ethz.ch/content/dam/ethz/associates/services/Anstellung-Arbeiten/Downloads/files/infos/Merkblatt_Einheitliche_Umsetzung_Arbeitszeit.pdf</v>
      </c>
      <c r="K23" s="5" t="str">
        <f t="shared" si="12"/>
        <v>https://wayback.archive-it.org/all/*/https://ethz.ch/staffnet/de/anstellung-und-arbeit/rund-um-die-anstellung/arbeitszeiten/einheitliche-umsetzung-arbeitszeit.html</v>
      </c>
      <c r="L23" s="8" t="str">
        <f t="shared" si="13"/>
        <v>https://wayback.archive-it.org/19945/*/https://ethz.ch/staffnet/de/anstellung-und-arbeit/rund-um-die-anstellung/arbeitszeiten/einheitliche-umsetzung-arbeitszeit.html</v>
      </c>
      <c r="M23" s="8" t="str">
        <f t="shared" si="14"/>
        <v>https://wayback.archive-it.org/19945/timemap/cdx?url=https://ethz.ch/staffnet/de/anstellung-und-arbeit/rund-um-die-anstellung/arbeitszeiten/einheitliche-umsetzung-arbeitszeit.html</v>
      </c>
    </row>
    <row r="24" ht="21.0" customHeight="1">
      <c r="A24" s="2" t="s">
        <v>90</v>
      </c>
      <c r="B24" s="3" t="s">
        <v>14</v>
      </c>
      <c r="C24" s="9" t="s">
        <v>79</v>
      </c>
      <c r="D24" s="9" t="s">
        <v>80</v>
      </c>
      <c r="E24" s="2" t="s">
        <v>91</v>
      </c>
      <c r="F24" s="3" t="s">
        <v>27</v>
      </c>
      <c r="G24" s="2" t="s">
        <v>92</v>
      </c>
      <c r="H24" s="5" t="str">
        <f t="shared" si="7"/>
        <v>https://wayback.archive-it.org/all/*/https://ethz.ch/content/dam/ethz/associates/services/Anstellung-Arbeiten/Downloads/files/infos/Merkblatt_Einheitliche_Umsetzung_Arbeitszeit.pdf</v>
      </c>
      <c r="I24" s="6" t="str">
        <f t="shared" si="10"/>
        <v>https://wayback.archive-it.org/19945/*/https://ethz.ch/content/dam/ethz/associates/services/Anstellung-Arbeiten/Downloads/files/infos/Merkblatt_Einheitliche_Umsetzung_Arbeitszeit.pdf</v>
      </c>
      <c r="J24" s="6" t="str">
        <f t="shared" si="11"/>
        <v>https://wayback.archive-it.org/19945/timemap/cdx?url=https://ethz.ch/content/dam/ethz/associates/services/Anstellung-Arbeiten/Downloads/files/infos/Merkblatt_Einheitliche_Umsetzung_Arbeitszeit.pdf</v>
      </c>
      <c r="K24" s="5" t="str">
        <f t="shared" si="12"/>
        <v>https://wayback.archive-it.org/all/*/https://ethz.ch/staffnet/de/anstellung-und-arbeit/rund-um-die-anstellung/arbeitszeiten/einheitliche-umsetzung-arbeitszeit.html</v>
      </c>
      <c r="L24" s="8" t="str">
        <f t="shared" si="13"/>
        <v>https://wayback.archive-it.org/19945/*/https://ethz.ch/staffnet/de/anstellung-und-arbeit/rund-um-die-anstellung/arbeitszeiten/einheitliche-umsetzung-arbeitszeit.html</v>
      </c>
      <c r="M24" s="8" t="str">
        <f t="shared" si="14"/>
        <v>https://wayback.archive-it.org/19945/timemap/cdx?url=https://ethz.ch/staffnet/de/anstellung-und-arbeit/rund-um-die-anstellung/arbeitszeiten/einheitliche-umsetzung-arbeitszeit.html</v>
      </c>
    </row>
    <row r="25" ht="21.0" customHeight="1">
      <c r="A25" s="2" t="s">
        <v>93</v>
      </c>
      <c r="B25" s="3" t="s">
        <v>14</v>
      </c>
      <c r="C25" s="9" t="s">
        <v>79</v>
      </c>
      <c r="D25" s="9" t="s">
        <v>80</v>
      </c>
      <c r="E25" s="2" t="s">
        <v>94</v>
      </c>
      <c r="F25" s="3" t="s">
        <v>27</v>
      </c>
      <c r="G25" s="2" t="s">
        <v>95</v>
      </c>
      <c r="H25" s="5" t="str">
        <f t="shared" si="7"/>
        <v>https://wayback.archive-it.org/all/*/https://ethz.ch/content/dam/ethz/associates/services/Anstellung-Arbeiten/Downloads/files/infos/Merkblatt_Einheitliche_Umsetzung_Arbeitszeit.pdf</v>
      </c>
      <c r="I25" s="6" t="str">
        <f t="shared" si="10"/>
        <v>https://wayback.archive-it.org/19945/*/https://ethz.ch/content/dam/ethz/associates/services/Anstellung-Arbeiten/Downloads/files/infos/Merkblatt_Einheitliche_Umsetzung_Arbeitszeit.pdf</v>
      </c>
      <c r="J25" s="6" t="str">
        <f t="shared" si="11"/>
        <v>https://wayback.archive-it.org/19945/timemap/cdx?url=https://ethz.ch/content/dam/ethz/associates/services/Anstellung-Arbeiten/Downloads/files/infos/Merkblatt_Einheitliche_Umsetzung_Arbeitszeit.pdf</v>
      </c>
      <c r="K25" s="5" t="str">
        <f t="shared" si="12"/>
        <v>https://wayback.archive-it.org/all/*/https://ethz.ch/staffnet/de/anstellung-und-arbeit/rund-um-die-anstellung/arbeitszeiten/einheitliche-umsetzung-arbeitszeit.html</v>
      </c>
      <c r="L25" s="8" t="str">
        <f t="shared" si="13"/>
        <v>https://wayback.archive-it.org/19945/*/https://ethz.ch/staffnet/de/anstellung-und-arbeit/rund-um-die-anstellung/arbeitszeiten/einheitliche-umsetzung-arbeitszeit.html</v>
      </c>
      <c r="M25" s="8" t="str">
        <f t="shared" si="14"/>
        <v>https://wayback.archive-it.org/19945/timemap/cdx?url=https://ethz.ch/staffnet/de/anstellung-und-arbeit/rund-um-die-anstellung/arbeitszeiten/einheitliche-umsetzung-arbeitszeit.html</v>
      </c>
    </row>
    <row r="26" ht="21.0" customHeight="1">
      <c r="A26" s="2" t="s">
        <v>96</v>
      </c>
      <c r="B26" s="3" t="s">
        <v>14</v>
      </c>
      <c r="C26" s="9" t="s">
        <v>79</v>
      </c>
      <c r="D26" s="9" t="s">
        <v>80</v>
      </c>
      <c r="E26" s="2" t="s">
        <v>97</v>
      </c>
      <c r="F26" s="3" t="s">
        <v>27</v>
      </c>
      <c r="G26" s="2" t="s">
        <v>98</v>
      </c>
      <c r="H26" s="5" t="str">
        <f t="shared" si="7"/>
        <v>https://wayback.archive-it.org/all/*/https://ethz.ch/content/dam/ethz/associates/services/Anstellung-Arbeiten/Downloads/files/infos/Merkblatt_Einheitliche_Umsetzung_Arbeitszeit.pdf</v>
      </c>
      <c r="I26" s="6" t="str">
        <f t="shared" si="10"/>
        <v>https://wayback.archive-it.org/19945/*/https://ethz.ch/content/dam/ethz/associates/services/Anstellung-Arbeiten/Downloads/files/infos/Merkblatt_Einheitliche_Umsetzung_Arbeitszeit.pdf</v>
      </c>
      <c r="J26" s="6" t="str">
        <f t="shared" si="11"/>
        <v>https://wayback.archive-it.org/19945/timemap/cdx?url=https://ethz.ch/content/dam/ethz/associates/services/Anstellung-Arbeiten/Downloads/files/infos/Merkblatt_Einheitliche_Umsetzung_Arbeitszeit.pdf</v>
      </c>
      <c r="K26" s="5" t="str">
        <f t="shared" si="12"/>
        <v>https://wayback.archive-it.org/all/*/https://ethz.ch/staffnet/de/anstellung-und-arbeit/rund-um-die-anstellung/arbeitszeiten/einheitliche-umsetzung-arbeitszeit.html</v>
      </c>
      <c r="L26" s="8" t="str">
        <f t="shared" si="13"/>
        <v>https://wayback.archive-it.org/19945/*/https://ethz.ch/staffnet/de/anstellung-und-arbeit/rund-um-die-anstellung/arbeitszeiten/einheitliche-umsetzung-arbeitszeit.html</v>
      </c>
      <c r="M26" s="8" t="str">
        <f t="shared" si="14"/>
        <v>https://wayback.archive-it.org/19945/timemap/cdx?url=https://ethz.ch/staffnet/de/anstellung-und-arbeit/rund-um-die-anstellung/arbeitszeiten/einheitliche-umsetzung-arbeitszeit.html</v>
      </c>
    </row>
    <row r="27" ht="21.0" customHeight="1">
      <c r="A27" s="2" t="s">
        <v>99</v>
      </c>
      <c r="B27" s="3" t="s">
        <v>14</v>
      </c>
      <c r="C27" s="9" t="s">
        <v>79</v>
      </c>
      <c r="D27" s="9" t="s">
        <v>80</v>
      </c>
      <c r="E27" s="2" t="s">
        <v>100</v>
      </c>
      <c r="F27" s="3" t="s">
        <v>27</v>
      </c>
      <c r="H27" s="5" t="str">
        <f t="shared" si="7"/>
        <v>https://wayback.archive-it.org/all/*/https://ethz.ch/content/dam/ethz/associates/services/Anstellung-Arbeiten/Downloads/files/infos/Merkblatt_Einheitliche_Umsetzung_Arbeitszeit.pdf</v>
      </c>
      <c r="I27" s="6" t="str">
        <f t="shared" si="10"/>
        <v>https://wayback.archive-it.org/19945/*/https://ethz.ch/content/dam/ethz/associates/services/Anstellung-Arbeiten/Downloads/files/infos/Merkblatt_Einheitliche_Umsetzung_Arbeitszeit.pdf</v>
      </c>
      <c r="J27" s="6" t="str">
        <f t="shared" si="11"/>
        <v>https://wayback.archive-it.org/19945/timemap/cdx?url=https://ethz.ch/content/dam/ethz/associates/services/Anstellung-Arbeiten/Downloads/files/infos/Merkblatt_Einheitliche_Umsetzung_Arbeitszeit.pdf</v>
      </c>
      <c r="K27" s="5" t="str">
        <f t="shared" si="12"/>
        <v>https://wayback.archive-it.org/all/*/https://ethz.ch/staffnet/de/anstellung-und-arbeit/rund-um-die-anstellung/arbeitszeiten/einheitliche-umsetzung-arbeitszeit.html</v>
      </c>
      <c r="L27" s="8" t="str">
        <f t="shared" si="13"/>
        <v>https://wayback.archive-it.org/19945/*/https://ethz.ch/staffnet/de/anstellung-und-arbeit/rund-um-die-anstellung/arbeitszeiten/einheitliche-umsetzung-arbeitszeit.html</v>
      </c>
      <c r="M27" s="8" t="str">
        <f t="shared" si="14"/>
        <v>https://wayback.archive-it.org/19945/timemap/cdx?url=https://ethz.ch/staffnet/de/anstellung-und-arbeit/rund-um-die-anstellung/arbeitszeiten/einheitliche-umsetzung-arbeitszeit.html</v>
      </c>
    </row>
    <row r="28" ht="21.0" customHeight="1">
      <c r="A28" s="2" t="s">
        <v>101</v>
      </c>
      <c r="B28" s="3" t="s">
        <v>14</v>
      </c>
      <c r="C28" s="9" t="s">
        <v>79</v>
      </c>
      <c r="D28" s="9" t="s">
        <v>80</v>
      </c>
      <c r="E28" s="2" t="s">
        <v>102</v>
      </c>
      <c r="F28" s="3" t="s">
        <v>27</v>
      </c>
      <c r="H28" s="5" t="str">
        <f t="shared" si="7"/>
        <v>https://wayback.archive-it.org/all/*/https://ethz.ch/content/dam/ethz/associates/services/Anstellung-Arbeiten/Downloads/files/infos/Merkblatt_Einheitliche_Umsetzung_Arbeitszeit.pdf</v>
      </c>
      <c r="I28" s="6" t="str">
        <f t="shared" si="10"/>
        <v>https://wayback.archive-it.org/19945/*/https://ethz.ch/content/dam/ethz/associates/services/Anstellung-Arbeiten/Downloads/files/infos/Merkblatt_Einheitliche_Umsetzung_Arbeitszeit.pdf</v>
      </c>
      <c r="J28" s="6" t="str">
        <f t="shared" si="11"/>
        <v>https://wayback.archive-it.org/19945/timemap/cdx?url=https://ethz.ch/content/dam/ethz/associates/services/Anstellung-Arbeiten/Downloads/files/infos/Merkblatt_Einheitliche_Umsetzung_Arbeitszeit.pdf</v>
      </c>
      <c r="K28" s="5" t="str">
        <f t="shared" si="12"/>
        <v>https://wayback.archive-it.org/all/*/https://ethz.ch/staffnet/de/anstellung-und-arbeit/rund-um-die-anstellung/arbeitszeiten/einheitliche-umsetzung-arbeitszeit.html</v>
      </c>
      <c r="L28" s="8" t="str">
        <f t="shared" si="13"/>
        <v>https://wayback.archive-it.org/19945/*/https://ethz.ch/staffnet/de/anstellung-und-arbeit/rund-um-die-anstellung/arbeitszeiten/einheitliche-umsetzung-arbeitszeit.html</v>
      </c>
      <c r="M28" s="8" t="str">
        <f t="shared" si="14"/>
        <v>https://wayback.archive-it.org/19945/timemap/cdx?url=https://ethz.ch/staffnet/de/anstellung-und-arbeit/rund-um-die-anstellung/arbeitszeiten/einheitliche-umsetzung-arbeitszeit.html</v>
      </c>
    </row>
    <row r="29" ht="21.0" customHeight="1">
      <c r="A29" s="2" t="s">
        <v>103</v>
      </c>
      <c r="B29" s="3" t="s">
        <v>14</v>
      </c>
      <c r="C29" s="9" t="s">
        <v>79</v>
      </c>
      <c r="D29" s="9" t="s">
        <v>80</v>
      </c>
      <c r="E29" s="2" t="s">
        <v>104</v>
      </c>
      <c r="F29" s="3" t="s">
        <v>27</v>
      </c>
      <c r="H29" s="5" t="str">
        <f t="shared" si="7"/>
        <v>https://wayback.archive-it.org/all/*/https://ethz.ch/content/dam/ethz/associates/services/Anstellung-Arbeiten/Downloads/files/infos/Merkblatt_Einheitliche_Umsetzung_Arbeitszeit.pdf</v>
      </c>
      <c r="I29" s="6" t="str">
        <f t="shared" si="10"/>
        <v>https://wayback.archive-it.org/19945/*/https://ethz.ch/content/dam/ethz/associates/services/Anstellung-Arbeiten/Downloads/files/infos/Merkblatt_Einheitliche_Umsetzung_Arbeitszeit.pdf</v>
      </c>
      <c r="J29" s="6" t="str">
        <f t="shared" si="11"/>
        <v>https://wayback.archive-it.org/19945/timemap/cdx?url=https://ethz.ch/content/dam/ethz/associates/services/Anstellung-Arbeiten/Downloads/files/infos/Merkblatt_Einheitliche_Umsetzung_Arbeitszeit.pdf</v>
      </c>
      <c r="K29" s="5" t="str">
        <f t="shared" si="12"/>
        <v>https://wayback.archive-it.org/all/*/https://ethz.ch/staffnet/de/anstellung-und-arbeit/rund-um-die-anstellung/arbeitszeiten/einheitliche-umsetzung-arbeitszeit.html</v>
      </c>
      <c r="L29" s="8" t="str">
        <f t="shared" si="13"/>
        <v>https://wayback.archive-it.org/19945/*/https://ethz.ch/staffnet/de/anstellung-und-arbeit/rund-um-die-anstellung/arbeitszeiten/einheitliche-umsetzung-arbeitszeit.html</v>
      </c>
      <c r="M29" s="8" t="str">
        <f t="shared" si="14"/>
        <v>https://wayback.archive-it.org/19945/timemap/cdx?url=https://ethz.ch/staffnet/de/anstellung-und-arbeit/rund-um-die-anstellung/arbeitszeiten/einheitliche-umsetzung-arbeitszeit.html</v>
      </c>
    </row>
    <row r="30" ht="21.0" customHeight="1">
      <c r="A30" s="2" t="s">
        <v>105</v>
      </c>
      <c r="B30" s="3" t="s">
        <v>14</v>
      </c>
      <c r="C30" s="9" t="s">
        <v>79</v>
      </c>
      <c r="D30" s="9" t="s">
        <v>80</v>
      </c>
      <c r="E30" s="2" t="s">
        <v>106</v>
      </c>
      <c r="F30" s="3" t="s">
        <v>27</v>
      </c>
      <c r="G30" s="2" t="s">
        <v>107</v>
      </c>
      <c r="H30" s="5" t="str">
        <f t="shared" si="7"/>
        <v>https://wayback.archive-it.org/all/*/https://ethz.ch/content/dam/ethz/associates/services/Anstellung-Arbeiten/Downloads/files/infos/Merkblatt_Einheitliche_Umsetzung_Arbeitszeit.pdf</v>
      </c>
      <c r="I30" s="6" t="str">
        <f t="shared" si="10"/>
        <v>https://wayback.archive-it.org/19945/*/https://ethz.ch/content/dam/ethz/associates/services/Anstellung-Arbeiten/Downloads/files/infos/Merkblatt_Einheitliche_Umsetzung_Arbeitszeit.pdf</v>
      </c>
      <c r="J30" s="6" t="str">
        <f t="shared" si="11"/>
        <v>https://wayback.archive-it.org/19945/timemap/cdx?url=https://ethz.ch/content/dam/ethz/associates/services/Anstellung-Arbeiten/Downloads/files/infos/Merkblatt_Einheitliche_Umsetzung_Arbeitszeit.pdf</v>
      </c>
      <c r="K30" s="5" t="str">
        <f t="shared" si="12"/>
        <v>https://wayback.archive-it.org/all/*/https://ethz.ch/staffnet/de/anstellung-und-arbeit/rund-um-die-anstellung/arbeitszeiten/einheitliche-umsetzung-arbeitszeit.html</v>
      </c>
      <c r="L30" s="8" t="str">
        <f t="shared" si="13"/>
        <v>https://wayback.archive-it.org/19945/*/https://ethz.ch/staffnet/de/anstellung-und-arbeit/rund-um-die-anstellung/arbeitszeiten/einheitliche-umsetzung-arbeitszeit.html</v>
      </c>
      <c r="M30" s="8" t="str">
        <f t="shared" si="14"/>
        <v>https://wayback.archive-it.org/19945/timemap/cdx?url=https://ethz.ch/staffnet/de/anstellung-und-arbeit/rund-um-die-anstellung/arbeitszeiten/einheitliche-umsetzung-arbeitszeit.html</v>
      </c>
    </row>
    <row r="31" ht="21.0" customHeight="1">
      <c r="A31" s="2" t="s">
        <v>108</v>
      </c>
      <c r="B31" s="3" t="s">
        <v>14</v>
      </c>
      <c r="C31" s="9" t="s">
        <v>79</v>
      </c>
      <c r="D31" s="9" t="s">
        <v>80</v>
      </c>
      <c r="E31" s="2" t="s">
        <v>109</v>
      </c>
      <c r="F31" s="3" t="s">
        <v>27</v>
      </c>
      <c r="H31" s="5" t="str">
        <f t="shared" si="7"/>
        <v>https://wayback.archive-it.org/all/*/https://ethz.ch/content/dam/ethz/associates/services/Anstellung-Arbeiten/Downloads/files/infos/Merkblatt_Einheitliche_Umsetzung_Arbeitszeit.pdf</v>
      </c>
      <c r="I31" s="6" t="str">
        <f t="shared" si="10"/>
        <v>https://wayback.archive-it.org/19945/*/https://ethz.ch/content/dam/ethz/associates/services/Anstellung-Arbeiten/Downloads/files/infos/Merkblatt_Einheitliche_Umsetzung_Arbeitszeit.pdf</v>
      </c>
      <c r="J31" s="6" t="str">
        <f t="shared" si="11"/>
        <v>https://wayback.archive-it.org/19945/timemap/cdx?url=https://ethz.ch/content/dam/ethz/associates/services/Anstellung-Arbeiten/Downloads/files/infos/Merkblatt_Einheitliche_Umsetzung_Arbeitszeit.pdf</v>
      </c>
      <c r="K31" s="5" t="str">
        <f t="shared" si="12"/>
        <v>https://wayback.archive-it.org/all/*/https://ethz.ch/staffnet/de/anstellung-und-arbeit/rund-um-die-anstellung/arbeitszeiten/einheitliche-umsetzung-arbeitszeit.html</v>
      </c>
      <c r="L31" s="8" t="str">
        <f t="shared" si="13"/>
        <v>https://wayback.archive-it.org/19945/*/https://ethz.ch/staffnet/de/anstellung-und-arbeit/rund-um-die-anstellung/arbeitszeiten/einheitliche-umsetzung-arbeitszeit.html</v>
      </c>
      <c r="M31" s="8" t="str">
        <f t="shared" si="14"/>
        <v>https://wayback.archive-it.org/19945/timemap/cdx?url=https://ethz.ch/staffnet/de/anstellung-und-arbeit/rund-um-die-anstellung/arbeitszeiten/einheitliche-umsetzung-arbeitszeit.html</v>
      </c>
    </row>
    <row r="32" ht="21.0" customHeight="1">
      <c r="A32" s="2" t="s">
        <v>110</v>
      </c>
      <c r="B32" s="3" t="s">
        <v>14</v>
      </c>
      <c r="C32" s="9" t="s">
        <v>79</v>
      </c>
      <c r="D32" s="9" t="s">
        <v>80</v>
      </c>
      <c r="E32" s="2" t="s">
        <v>111</v>
      </c>
      <c r="F32" s="3" t="s">
        <v>27</v>
      </c>
      <c r="G32" s="2" t="s">
        <v>112</v>
      </c>
      <c r="H32" s="5" t="str">
        <f t="shared" si="7"/>
        <v>https://wayback.archive-it.org/all/*/https://ethz.ch/content/dam/ethz/associates/services/Anstellung-Arbeiten/Downloads/files/infos/Merkblatt_Einheitliche_Umsetzung_Arbeitszeit.pdf</v>
      </c>
      <c r="I32" s="6" t="str">
        <f t="shared" si="10"/>
        <v>https://wayback.archive-it.org/19945/*/https://ethz.ch/content/dam/ethz/associates/services/Anstellung-Arbeiten/Downloads/files/infos/Merkblatt_Einheitliche_Umsetzung_Arbeitszeit.pdf</v>
      </c>
      <c r="J32" s="6" t="str">
        <f t="shared" si="11"/>
        <v>https://wayback.archive-it.org/19945/timemap/cdx?url=https://ethz.ch/content/dam/ethz/associates/services/Anstellung-Arbeiten/Downloads/files/infos/Merkblatt_Einheitliche_Umsetzung_Arbeitszeit.pdf</v>
      </c>
      <c r="K32" s="5" t="str">
        <f t="shared" si="12"/>
        <v>https://wayback.archive-it.org/all/*/https://ethz.ch/staffnet/de/anstellung-und-arbeit/rund-um-die-anstellung/arbeitszeiten/einheitliche-umsetzung-arbeitszeit.html</v>
      </c>
      <c r="L32" s="8" t="str">
        <f t="shared" si="13"/>
        <v>https://wayback.archive-it.org/19945/*/https://ethz.ch/staffnet/de/anstellung-und-arbeit/rund-um-die-anstellung/arbeitszeiten/einheitliche-umsetzung-arbeitszeit.html</v>
      </c>
      <c r="M32" s="8" t="str">
        <f t="shared" si="14"/>
        <v>https://wayback.archive-it.org/19945/timemap/cdx?url=https://ethz.ch/staffnet/de/anstellung-und-arbeit/rund-um-die-anstellung/arbeitszeiten/einheitliche-umsetzung-arbeitszeit.html</v>
      </c>
    </row>
    <row r="33" ht="21.0" customHeight="1">
      <c r="A33" s="2" t="s">
        <v>113</v>
      </c>
      <c r="B33" s="3" t="s">
        <v>14</v>
      </c>
      <c r="C33" s="9" t="s">
        <v>79</v>
      </c>
      <c r="D33" s="9" t="s">
        <v>80</v>
      </c>
      <c r="E33" s="2" t="s">
        <v>114</v>
      </c>
      <c r="F33" s="3" t="s">
        <v>27</v>
      </c>
      <c r="H33" s="5" t="str">
        <f t="shared" si="7"/>
        <v>https://wayback.archive-it.org/all/*/https://ethz.ch/content/dam/ethz/associates/services/Anstellung-Arbeiten/Downloads/files/infos/Merkblatt_Einheitliche_Umsetzung_Arbeitszeit.pdf</v>
      </c>
      <c r="I33" s="6" t="str">
        <f t="shared" si="10"/>
        <v>https://wayback.archive-it.org/19945/*/https://ethz.ch/content/dam/ethz/associates/services/Anstellung-Arbeiten/Downloads/files/infos/Merkblatt_Einheitliche_Umsetzung_Arbeitszeit.pdf</v>
      </c>
      <c r="J33" s="6" t="str">
        <f t="shared" si="11"/>
        <v>https://wayback.archive-it.org/19945/timemap/cdx?url=https://ethz.ch/content/dam/ethz/associates/services/Anstellung-Arbeiten/Downloads/files/infos/Merkblatt_Einheitliche_Umsetzung_Arbeitszeit.pdf</v>
      </c>
      <c r="K33" s="5" t="str">
        <f t="shared" si="12"/>
        <v>https://wayback.archive-it.org/all/*/https://ethz.ch/staffnet/de/anstellung-und-arbeit/rund-um-die-anstellung/arbeitszeiten/einheitliche-umsetzung-arbeitszeit.html</v>
      </c>
      <c r="L33" s="8" t="str">
        <f t="shared" si="13"/>
        <v>https://wayback.archive-it.org/19945/*/https://ethz.ch/staffnet/de/anstellung-und-arbeit/rund-um-die-anstellung/arbeitszeiten/einheitliche-umsetzung-arbeitszeit.html</v>
      </c>
      <c r="M33" s="8" t="str">
        <f t="shared" si="14"/>
        <v>https://wayback.archive-it.org/19945/timemap/cdx?url=https://ethz.ch/staffnet/de/anstellung-und-arbeit/rund-um-die-anstellung/arbeitszeiten/einheitliche-umsetzung-arbeitszeit.html</v>
      </c>
    </row>
    <row r="34" ht="21.0" customHeight="1">
      <c r="A34" s="2" t="s">
        <v>115</v>
      </c>
      <c r="B34" s="3" t="s">
        <v>14</v>
      </c>
      <c r="C34" s="9" t="s">
        <v>79</v>
      </c>
      <c r="D34" s="9" t="s">
        <v>80</v>
      </c>
      <c r="E34" s="2" t="s">
        <v>116</v>
      </c>
      <c r="F34" s="3" t="s">
        <v>27</v>
      </c>
      <c r="H34" s="5" t="str">
        <f t="shared" si="7"/>
        <v>https://wayback.archive-it.org/all/*/https://ethz.ch/content/dam/ethz/associates/services/Anstellung-Arbeiten/Downloads/files/infos/Merkblatt_Einheitliche_Umsetzung_Arbeitszeit.pdf</v>
      </c>
      <c r="I34" s="6" t="str">
        <f t="shared" si="10"/>
        <v>https://wayback.archive-it.org/19945/*/https://ethz.ch/content/dam/ethz/associates/services/Anstellung-Arbeiten/Downloads/files/infos/Merkblatt_Einheitliche_Umsetzung_Arbeitszeit.pdf</v>
      </c>
      <c r="J34" s="6" t="str">
        <f t="shared" si="11"/>
        <v>https://wayback.archive-it.org/19945/timemap/cdx?url=https://ethz.ch/content/dam/ethz/associates/services/Anstellung-Arbeiten/Downloads/files/infos/Merkblatt_Einheitliche_Umsetzung_Arbeitszeit.pdf</v>
      </c>
      <c r="K34" s="5" t="str">
        <f t="shared" si="12"/>
        <v>https://wayback.archive-it.org/all/*/https://ethz.ch/staffnet/de/anstellung-und-arbeit/rund-um-die-anstellung/arbeitszeiten/einheitliche-umsetzung-arbeitszeit.html</v>
      </c>
      <c r="L34" s="8" t="str">
        <f t="shared" si="13"/>
        <v>https://wayback.archive-it.org/19945/*/https://ethz.ch/staffnet/de/anstellung-und-arbeit/rund-um-die-anstellung/arbeitszeiten/einheitliche-umsetzung-arbeitszeit.html</v>
      </c>
      <c r="M34" s="8" t="str">
        <f t="shared" si="14"/>
        <v>https://wayback.archive-it.org/19945/timemap/cdx?url=https://ethz.ch/staffnet/de/anstellung-und-arbeit/rund-um-die-anstellung/arbeitszeiten/einheitliche-umsetzung-arbeitszeit.html</v>
      </c>
    </row>
    <row r="35" ht="21.0" customHeight="1">
      <c r="A35" s="2" t="s">
        <v>117</v>
      </c>
      <c r="B35" s="3" t="s">
        <v>14</v>
      </c>
      <c r="C35" s="9" t="s">
        <v>79</v>
      </c>
      <c r="D35" s="9" t="s">
        <v>80</v>
      </c>
      <c r="E35" s="2" t="s">
        <v>118</v>
      </c>
      <c r="F35" s="3" t="s">
        <v>27</v>
      </c>
      <c r="H35" s="5" t="str">
        <f t="shared" si="7"/>
        <v>https://wayback.archive-it.org/all/*/https://ethz.ch/content/dam/ethz/associates/services/Anstellung-Arbeiten/Downloads/files/infos/Merkblatt_Einheitliche_Umsetzung_Arbeitszeit.pdf</v>
      </c>
      <c r="I35" s="6" t="str">
        <f t="shared" si="10"/>
        <v>https://wayback.archive-it.org/19945/*/https://ethz.ch/content/dam/ethz/associates/services/Anstellung-Arbeiten/Downloads/files/infos/Merkblatt_Einheitliche_Umsetzung_Arbeitszeit.pdf</v>
      </c>
      <c r="J35" s="6" t="str">
        <f t="shared" si="11"/>
        <v>https://wayback.archive-it.org/19945/timemap/cdx?url=https://ethz.ch/content/dam/ethz/associates/services/Anstellung-Arbeiten/Downloads/files/infos/Merkblatt_Einheitliche_Umsetzung_Arbeitszeit.pdf</v>
      </c>
      <c r="K35" s="5" t="str">
        <f t="shared" si="12"/>
        <v>https://wayback.archive-it.org/all/*/https://ethz.ch/staffnet/de/anstellung-und-arbeit/rund-um-die-anstellung/arbeitszeiten/einheitliche-umsetzung-arbeitszeit.html</v>
      </c>
      <c r="L35" s="8" t="str">
        <f t="shared" si="13"/>
        <v>https://wayback.archive-it.org/19945/*/https://ethz.ch/staffnet/de/anstellung-und-arbeit/rund-um-die-anstellung/arbeitszeiten/einheitliche-umsetzung-arbeitszeit.html</v>
      </c>
      <c r="M35" s="8" t="str">
        <f t="shared" si="14"/>
        <v>https://wayback.archive-it.org/19945/timemap/cdx?url=https://ethz.ch/staffnet/de/anstellung-und-arbeit/rund-um-die-anstellung/arbeitszeiten/einheitliche-umsetzung-arbeitszeit.html</v>
      </c>
    </row>
    <row r="36" ht="21.0" customHeight="1">
      <c r="A36" s="2" t="s">
        <v>119</v>
      </c>
      <c r="B36" s="3" t="s">
        <v>14</v>
      </c>
      <c r="C36" s="9" t="s">
        <v>120</v>
      </c>
      <c r="D36" s="9" t="s">
        <v>121</v>
      </c>
      <c r="E36" s="2" t="s">
        <v>122</v>
      </c>
      <c r="F36" s="3" t="s">
        <v>27</v>
      </c>
      <c r="H36" s="5" t="str">
        <f t="shared" si="7"/>
        <v>https://wayback.archive-it.org/all/*/https://ethz.ch/content/dam/ethz/associates/services/Anstellung-Arbeiten/Downloads/files/infos/Merkblatt_Elternschaft.pdf</v>
      </c>
      <c r="I36" s="6" t="str">
        <f t="shared" si="10"/>
        <v>https://wayback.archive-it.org/19945/*/https://ethz.ch/content/dam/ethz/associates/services/Anstellung-Arbeiten/Downloads/files/infos/Merkblatt_Elternschaft.pdf</v>
      </c>
      <c r="J36" s="6" t="str">
        <f t="shared" si="11"/>
        <v>https://wayback.archive-it.org/19945/timemap/cdx?url=https://ethz.ch/content/dam/ethz/associates/services/Anstellung-Arbeiten/Downloads/files/infos/Merkblatt_Elternschaft.pdf</v>
      </c>
      <c r="K36" s="5" t="str">
        <f t="shared" si="12"/>
        <v>https://wayback.archive-it.org/all/*/https://ethz.ch/staffnet/de/anstellung-und-arbeit/rund-um-die-anstellung/arbeitszeiten/mutterschafts-vaterschaftsurlaub.html</v>
      </c>
      <c r="L36" s="8" t="str">
        <f t="shared" si="13"/>
        <v>https://wayback.archive-it.org/19945/*/https://ethz.ch/staffnet/de/anstellung-und-arbeit/rund-um-die-anstellung/arbeitszeiten/mutterschafts-vaterschaftsurlaub.html</v>
      </c>
      <c r="M36" s="8" t="str">
        <f t="shared" si="14"/>
        <v>https://wayback.archive-it.org/19945/timemap/cdx?url=https://ethz.ch/staffnet/de/anstellung-und-arbeit/rund-um-die-anstellung/arbeitszeiten/mutterschafts-vaterschaftsurlaub.html</v>
      </c>
    </row>
    <row r="37" ht="21.0" customHeight="1">
      <c r="A37" s="2" t="s">
        <v>123</v>
      </c>
      <c r="B37" s="3" t="s">
        <v>14</v>
      </c>
      <c r="C37" s="9" t="s">
        <v>120</v>
      </c>
      <c r="D37" s="9" t="s">
        <v>124</v>
      </c>
      <c r="E37" s="2" t="s">
        <v>125</v>
      </c>
      <c r="F37" s="3" t="s">
        <v>27</v>
      </c>
      <c r="G37" s="2" t="s">
        <v>126</v>
      </c>
      <c r="H37" s="5" t="str">
        <f t="shared" si="7"/>
        <v>https://wayback.archive-it.org/all/*/https://ethz.ch/content/dam/ethz/associates/services/Anstellung-Arbeiten/Downloads/files/infos/Merkblatt_Elternschaft.pdf</v>
      </c>
      <c r="I37" s="6" t="str">
        <f t="shared" si="10"/>
        <v>https://wayback.archive-it.org/19945/*/https://ethz.ch/content/dam/ethz/associates/services/Anstellung-Arbeiten/Downloads/files/infos/Merkblatt_Elternschaft.pdf</v>
      </c>
      <c r="J37" s="6" t="str">
        <f t="shared" si="11"/>
        <v>https://wayback.archive-it.org/19945/timemap/cdx?url=https://ethz.ch/content/dam/ethz/associates/services/Anstellung-Arbeiten/Downloads/files/infos/Merkblatt_Elternschaft.pdf</v>
      </c>
      <c r="K37" s="5" t="str">
        <f t="shared" si="12"/>
        <v>https://wayback.archive-it.org/all/*/https://ethz.ch/staffnet/de/anstellung-und-arbeit/arbeitsumfeld/familie/mutterschaft/mutterschafts-vaterschaftsurlaub.html</v>
      </c>
      <c r="L37" s="8" t="str">
        <f t="shared" si="13"/>
        <v>https://wayback.archive-it.org/19945/*/https://ethz.ch/staffnet/de/anstellung-und-arbeit/arbeitsumfeld/familie/mutterschaft/mutterschafts-vaterschaftsurlaub.html</v>
      </c>
      <c r="M37" s="8" t="str">
        <f t="shared" si="14"/>
        <v>https://wayback.archive-it.org/19945/timemap/cdx?url=https://ethz.ch/staffnet/de/anstellung-und-arbeit/arbeitsumfeld/familie/mutterschaft/mutterschafts-vaterschaftsurlaub.html</v>
      </c>
    </row>
    <row r="38" ht="21.0" customHeight="1">
      <c r="A38" s="2" t="s">
        <v>127</v>
      </c>
      <c r="B38" s="3" t="s">
        <v>14</v>
      </c>
      <c r="C38" s="9" t="s">
        <v>121</v>
      </c>
      <c r="E38" s="2" t="s">
        <v>128</v>
      </c>
      <c r="F38" s="3" t="s">
        <v>27</v>
      </c>
      <c r="H38" s="5" t="str">
        <f t="shared" si="7"/>
        <v>https://wayback.archive-it.org/all/*/https://ethz.ch/staffnet/de/anstellung-und-arbeit/rund-um-die-anstellung/arbeitszeiten/mutterschafts-vaterschaftsurlaub.html</v>
      </c>
      <c r="I38" s="6" t="str">
        <f t="shared" si="10"/>
        <v>https://wayback.archive-it.org/19945/*/https://ethz.ch/staffnet/de/anstellung-und-arbeit/rund-um-die-anstellung/arbeitszeiten/mutterschafts-vaterschaftsurlaub.html</v>
      </c>
      <c r="J38" s="6" t="str">
        <f t="shared" si="11"/>
        <v>https://wayback.archive-it.org/19945/timemap/cdx?url=https://ethz.ch/staffnet/de/anstellung-und-arbeit/rund-um-die-anstellung/arbeitszeiten/mutterschafts-vaterschaftsurlaub.html</v>
      </c>
      <c r="K38" s="13"/>
    </row>
    <row r="39" ht="21.0" customHeight="1">
      <c r="A39" s="2" t="s">
        <v>129</v>
      </c>
      <c r="B39" s="3" t="s">
        <v>14</v>
      </c>
      <c r="C39" s="9" t="s">
        <v>121</v>
      </c>
      <c r="E39" s="2" t="s">
        <v>130</v>
      </c>
      <c r="F39" s="3" t="s">
        <v>27</v>
      </c>
      <c r="H39" s="5" t="str">
        <f t="shared" si="7"/>
        <v>https://wayback.archive-it.org/all/*/https://ethz.ch/staffnet/de/anstellung-und-arbeit/rund-um-die-anstellung/arbeitszeiten/mutterschafts-vaterschaftsurlaub.html</v>
      </c>
      <c r="I39" s="6" t="str">
        <f t="shared" si="10"/>
        <v>https://wayback.archive-it.org/19945/*/https://ethz.ch/staffnet/de/anstellung-und-arbeit/rund-um-die-anstellung/arbeitszeiten/mutterschafts-vaterschaftsurlaub.html</v>
      </c>
      <c r="J39" s="6" t="str">
        <f t="shared" si="11"/>
        <v>https://wayback.archive-it.org/19945/timemap/cdx?url=https://ethz.ch/staffnet/de/anstellung-und-arbeit/rund-um-die-anstellung/arbeitszeiten/mutterschafts-vaterschaftsurlaub.html</v>
      </c>
      <c r="K39" s="13"/>
    </row>
    <row r="40" ht="21.0" customHeight="1">
      <c r="A40" s="2" t="s">
        <v>131</v>
      </c>
      <c r="B40" s="3" t="s">
        <v>14</v>
      </c>
      <c r="C40" s="4" t="s">
        <v>121</v>
      </c>
      <c r="E40" s="2" t="s">
        <v>132</v>
      </c>
      <c r="F40" s="3" t="s">
        <v>27</v>
      </c>
      <c r="H40" s="5" t="str">
        <f t="shared" si="7"/>
        <v>https://wayback.archive-it.org/all/*/https://ethz.ch/staffnet/de/anstellung-und-arbeit/rund-um-die-anstellung/arbeitszeiten/mutterschafts-vaterschaftsurlaub.html</v>
      </c>
      <c r="I40" s="6" t="str">
        <f t="shared" si="10"/>
        <v>https://wayback.archive-it.org/19945/*/https://ethz.ch/staffnet/de/anstellung-und-arbeit/rund-um-die-anstellung/arbeitszeiten/mutterschafts-vaterschaftsurlaub.html</v>
      </c>
      <c r="J40" s="6" t="str">
        <f t="shared" si="11"/>
        <v>https://wayback.archive-it.org/19945/timemap/cdx?url=https://ethz.ch/staffnet/de/anstellung-und-arbeit/rund-um-die-anstellung/arbeitszeiten/mutterschafts-vaterschaftsurlaub.html</v>
      </c>
      <c r="K40" s="13"/>
    </row>
    <row r="41" ht="21.0" customHeight="1">
      <c r="A41" s="2" t="s">
        <v>133</v>
      </c>
      <c r="B41" s="3" t="s">
        <v>24</v>
      </c>
      <c r="C41" s="16" t="s">
        <v>134</v>
      </c>
      <c r="E41" s="2" t="s">
        <v>135</v>
      </c>
      <c r="F41" s="3" t="s">
        <v>27</v>
      </c>
      <c r="H41" s="17" t="s">
        <v>136</v>
      </c>
      <c r="I41" s="16" t="s">
        <v>137</v>
      </c>
      <c r="J41" s="16" t="s">
        <v>138</v>
      </c>
      <c r="K41" s="13"/>
    </row>
    <row r="42" ht="21.0" customHeight="1">
      <c r="A42" s="2" t="s">
        <v>139</v>
      </c>
      <c r="B42" s="3" t="s">
        <v>24</v>
      </c>
      <c r="C42" s="16" t="s">
        <v>134</v>
      </c>
      <c r="E42" s="2" t="s">
        <v>140</v>
      </c>
      <c r="F42" s="3" t="s">
        <v>27</v>
      </c>
      <c r="H42" s="17" t="s">
        <v>136</v>
      </c>
      <c r="I42" s="16" t="s">
        <v>137</v>
      </c>
      <c r="J42" s="16" t="s">
        <v>138</v>
      </c>
      <c r="K42" s="13"/>
    </row>
    <row r="43" ht="21.0" customHeight="1">
      <c r="A43" s="2" t="s">
        <v>141</v>
      </c>
      <c r="B43" s="3" t="s">
        <v>24</v>
      </c>
      <c r="C43" s="18" t="s">
        <v>134</v>
      </c>
      <c r="E43" s="2" t="s">
        <v>142</v>
      </c>
      <c r="F43" s="3" t="s">
        <v>27</v>
      </c>
      <c r="H43" s="17" t="s">
        <v>136</v>
      </c>
      <c r="I43" s="18" t="s">
        <v>137</v>
      </c>
      <c r="J43" s="16" t="s">
        <v>138</v>
      </c>
      <c r="K43" s="13"/>
    </row>
    <row r="44" ht="21.0" customHeight="1">
      <c r="A44" s="2" t="s">
        <v>143</v>
      </c>
      <c r="B44" s="3" t="s">
        <v>24</v>
      </c>
      <c r="C44" s="4" t="s">
        <v>144</v>
      </c>
      <c r="D44" s="9" t="s">
        <v>145</v>
      </c>
      <c r="E44" s="2" t="s">
        <v>146</v>
      </c>
      <c r="F44" s="3" t="s">
        <v>33</v>
      </c>
      <c r="G44" s="2" t="s">
        <v>147</v>
      </c>
      <c r="H44" s="5" t="str">
        <f t="shared" ref="H44:H99" si="15">"https://wayback.archive-it.org/all/*/"&amp;C44</f>
        <v>https://wayback.archive-it.org/all/*/https://ethz.ch/staffnet/en/service/events/dozentenfoyer.html</v>
      </c>
      <c r="I44" s="6" t="str">
        <f t="shared" ref="I44:I47" si="16">"https://wayback.archive-it.org/19945/*/"&amp;C44</f>
        <v>https://wayback.archive-it.org/19945/*/https://ethz.ch/staffnet/en/service/events/dozentenfoyer.html</v>
      </c>
      <c r="J44" s="6" t="str">
        <f t="shared" ref="J44:J47" si="17">"https://wayback.archive-it.org/19945/timemap/cdx?url="&amp;C44</f>
        <v>https://wayback.archive-it.org/19945/timemap/cdx?url=https://ethz.ch/staffnet/en/service/events/dozentenfoyer.html</v>
      </c>
      <c r="K44" s="5" t="str">
        <f t="shared" ref="K44:K46" si="18">"https://wayback.archive-it.org/all/*/"&amp;D44</f>
        <v>https://wayback.archive-it.org/all/*/https://ethz.ch/staffnet/en/service/events/dozentenfoyer/abendveranstaltungen.html</v>
      </c>
      <c r="L44" s="8" t="str">
        <f t="shared" ref="L44:L46" si="19">"https://wayback.archive-it.org/19945/*/"&amp;D44</f>
        <v>https://wayback.archive-it.org/19945/*/https://ethz.ch/staffnet/en/service/events/dozentenfoyer/abendveranstaltungen.html</v>
      </c>
      <c r="M44" s="8" t="str">
        <f t="shared" ref="M44:M46" si="20">"https://wayback.archive-it.org/19945/timemap/cdx?url="&amp;D44</f>
        <v>https://wayback.archive-it.org/19945/timemap/cdx?url=https://ethz.ch/staffnet/en/service/events/dozentenfoyer/abendveranstaltungen.html</v>
      </c>
    </row>
    <row r="45" ht="21.0" customHeight="1">
      <c r="A45" s="2" t="s">
        <v>148</v>
      </c>
      <c r="B45" s="3" t="s">
        <v>24</v>
      </c>
      <c r="C45" s="9" t="s">
        <v>149</v>
      </c>
      <c r="D45" s="9" t="s">
        <v>150</v>
      </c>
      <c r="E45" s="2" t="s">
        <v>151</v>
      </c>
      <c r="F45" s="3" t="s">
        <v>27</v>
      </c>
      <c r="H45" s="5" t="str">
        <f t="shared" si="15"/>
        <v>https://wayback.archive-it.org/all/*/https://ethz.ch/staffnet/en/service/eth-card.html</v>
      </c>
      <c r="I45" s="6" t="str">
        <f t="shared" si="16"/>
        <v>https://wayback.archive-it.org/19945/*/https://ethz.ch/staffnet/en/service/eth-card.html</v>
      </c>
      <c r="J45" s="6" t="str">
        <f t="shared" si="17"/>
        <v>https://wayback.archive-it.org/19945/timemap/cdx?url=https://ethz.ch/staffnet/en/service/eth-card.html</v>
      </c>
      <c r="K45" s="5" t="str">
        <f t="shared" si="18"/>
        <v>https://wayback.archive-it.org/all/*/https://ethz.ch/staffnet/en/service/eth-card/replacement-card.html</v>
      </c>
      <c r="L45" s="8" t="str">
        <f t="shared" si="19"/>
        <v>https://wayback.archive-it.org/19945/*/https://ethz.ch/staffnet/en/service/eth-card/replacement-card.html</v>
      </c>
      <c r="M45" s="8" t="str">
        <f t="shared" si="20"/>
        <v>https://wayback.archive-it.org/19945/timemap/cdx?url=https://ethz.ch/staffnet/en/service/eth-card/replacement-card.html</v>
      </c>
    </row>
    <row r="46" ht="21.0" customHeight="1">
      <c r="A46" s="2" t="s">
        <v>152</v>
      </c>
      <c r="B46" s="3" t="s">
        <v>24</v>
      </c>
      <c r="C46" s="9" t="s">
        <v>149</v>
      </c>
      <c r="D46" s="9" t="s">
        <v>153</v>
      </c>
      <c r="E46" s="6" t="s">
        <v>154</v>
      </c>
      <c r="F46" s="3" t="s">
        <v>27</v>
      </c>
      <c r="H46" s="5" t="str">
        <f t="shared" si="15"/>
        <v>https://wayback.archive-it.org/all/*/https://ethz.ch/staffnet/en/service/eth-card.html</v>
      </c>
      <c r="I46" s="6" t="str">
        <f t="shared" si="16"/>
        <v>https://wayback.archive-it.org/19945/*/https://ethz.ch/staffnet/en/service/eth-card.html</v>
      </c>
      <c r="J46" s="6" t="str">
        <f t="shared" si="17"/>
        <v>https://wayback.archive-it.org/19945/timemap/cdx?url=https://ethz.ch/staffnet/en/service/eth-card.html</v>
      </c>
      <c r="K46" s="5" t="str">
        <f t="shared" si="18"/>
        <v>https://wayback.archive-it.org/all/*/https://ethz.ch/staffnet/en/news-and-events/internal-news/archive/2022/01/tips-and-tricks-how-to-deal-with-locked-doors-at-eth.html</v>
      </c>
      <c r="L46" s="8" t="str">
        <f t="shared" si="19"/>
        <v>https://wayback.archive-it.org/19945/*/https://ethz.ch/staffnet/en/news-and-events/internal-news/archive/2022/01/tips-and-tricks-how-to-deal-with-locked-doors-at-eth.html</v>
      </c>
      <c r="M46" s="8" t="str">
        <f t="shared" si="20"/>
        <v>https://wayback.archive-it.org/19945/timemap/cdx?url=https://ethz.ch/staffnet/en/news-and-events/internal-news/archive/2022/01/tips-and-tricks-how-to-deal-with-locked-doors-at-eth.html</v>
      </c>
    </row>
    <row r="47" ht="21.0" customHeight="1">
      <c r="A47" s="2" t="s">
        <v>155</v>
      </c>
      <c r="B47" s="3" t="s">
        <v>14</v>
      </c>
      <c r="C47" s="4" t="s">
        <v>156</v>
      </c>
      <c r="D47" s="19"/>
      <c r="E47" s="2" t="s">
        <v>157</v>
      </c>
      <c r="F47" s="3" t="s">
        <v>27</v>
      </c>
      <c r="H47" s="5" t="str">
        <f t="shared" si="15"/>
        <v>https://wayback.archive-it.org/all/*/https://ethz.ch/staffnet/en/news-and-events/internal-news/archive/2022/04/asvz-cards-to-increase-in-price.html</v>
      </c>
      <c r="I47" s="6" t="str">
        <f t="shared" si="16"/>
        <v>https://wayback.archive-it.org/19945/*/https://ethz.ch/staffnet/en/news-and-events/internal-news/archive/2022/04/asvz-cards-to-increase-in-price.html</v>
      </c>
      <c r="J47" s="6" t="str">
        <f t="shared" si="17"/>
        <v>https://wayback.archive-it.org/19945/timemap/cdx?url=https://ethz.ch/staffnet/en/news-and-events/internal-news/archive/2022/04/asvz-cards-to-increase-in-price.html</v>
      </c>
      <c r="K47" s="13"/>
    </row>
    <row r="48" ht="21.0" customHeight="1">
      <c r="A48" s="2" t="s">
        <v>158</v>
      </c>
      <c r="B48" s="3" t="s">
        <v>24</v>
      </c>
      <c r="C48" s="12" t="s">
        <v>159</v>
      </c>
      <c r="D48" s="2"/>
      <c r="E48" s="2" t="s">
        <v>160</v>
      </c>
      <c r="F48" s="3" t="s">
        <v>18</v>
      </c>
      <c r="G48" s="5" t="s">
        <v>161</v>
      </c>
      <c r="H48" s="5" t="str">
        <f t="shared" si="15"/>
        <v>https://wayback.archive-it.org/all/*/https://scicomp.ethz.ch/wiki/FAQ</v>
      </c>
      <c r="I48" s="14" t="str">
        <f t="shared" ref="I48:I50" si="21">"https://wayback.archive-it.org/18167/*/"&amp;C48</f>
        <v>https://wayback.archive-it.org/18167/*/https://scicomp.ethz.ch/wiki/FAQ</v>
      </c>
      <c r="J48" s="6" t="str">
        <f t="shared" ref="J48:J50" si="22">"https://wayback.archive-it.org/18167/timemap/cdx?url="&amp;C48</f>
        <v>https://wayback.archive-it.org/18167/timemap/cdx?url=https://scicomp.ethz.ch/wiki/FAQ</v>
      </c>
      <c r="K48" s="13"/>
    </row>
    <row r="49" ht="21.0" customHeight="1">
      <c r="A49" s="2" t="s">
        <v>162</v>
      </c>
      <c r="B49" s="3" t="s">
        <v>24</v>
      </c>
      <c r="C49" s="12" t="s">
        <v>163</v>
      </c>
      <c r="D49" s="2"/>
      <c r="E49" s="2" t="s">
        <v>164</v>
      </c>
      <c r="F49" s="3" t="s">
        <v>27</v>
      </c>
      <c r="G49" s="2" t="s">
        <v>165</v>
      </c>
      <c r="H49" s="5" t="str">
        <f t="shared" si="15"/>
        <v>https://wayback.archive-it.org/all/*/https://scicomp.ethz.ch/wiki/Conda</v>
      </c>
      <c r="I49" s="14" t="str">
        <f t="shared" si="21"/>
        <v>https://wayback.archive-it.org/18167/*/https://scicomp.ethz.ch/wiki/Conda</v>
      </c>
      <c r="J49" s="6" t="str">
        <f t="shared" si="22"/>
        <v>https://wayback.archive-it.org/18167/timemap/cdx?url=https://scicomp.ethz.ch/wiki/Conda</v>
      </c>
      <c r="K49" s="13"/>
    </row>
    <row r="50" ht="21.0" customHeight="1">
      <c r="A50" s="2" t="s">
        <v>166</v>
      </c>
      <c r="B50" s="3" t="s">
        <v>24</v>
      </c>
      <c r="C50" s="14" t="s">
        <v>167</v>
      </c>
      <c r="E50" s="2" t="s">
        <v>168</v>
      </c>
      <c r="F50" s="3" t="s">
        <v>27</v>
      </c>
      <c r="G50" s="2" t="s">
        <v>169</v>
      </c>
      <c r="H50" s="5" t="str">
        <f t="shared" si="15"/>
        <v>https://wayback.archive-it.org/all/*/https://scicomp.ethz.ch/wiki/Python</v>
      </c>
      <c r="I50" s="14" t="str">
        <f t="shared" si="21"/>
        <v>https://wayback.archive-it.org/18167/*/https://scicomp.ethz.ch/wiki/Python</v>
      </c>
      <c r="J50" s="6" t="str">
        <f t="shared" si="22"/>
        <v>https://wayback.archive-it.org/18167/timemap/cdx?url=https://scicomp.ethz.ch/wiki/Python</v>
      </c>
      <c r="K50" s="13"/>
    </row>
    <row r="51" ht="21.0" customHeight="1">
      <c r="A51" s="2" t="s">
        <v>170</v>
      </c>
      <c r="B51" s="3" t="s">
        <v>14</v>
      </c>
      <c r="C51" s="9" t="s">
        <v>171</v>
      </c>
      <c r="E51" s="2" t="s">
        <v>172</v>
      </c>
      <c r="F51" s="3" t="s">
        <v>27</v>
      </c>
      <c r="H51" s="5" t="str">
        <f t="shared" si="15"/>
        <v>https://wayback.archive-it.org/all/*/https://library.ethz.ch/standorte-und-medien/medientypen/zeitschriften-zeitungen.html</v>
      </c>
      <c r="I51" s="6" t="str">
        <f t="shared" ref="I51:I99" si="23">"https://wayback.archive-it.org/19945/*/"&amp;C51</f>
        <v>https://wayback.archive-it.org/19945/*/https://library.ethz.ch/standorte-und-medien/medientypen/zeitschriften-zeitungen.html</v>
      </c>
      <c r="J51" s="6" t="str">
        <f t="shared" ref="J51:J99" si="24">"https://wayback.archive-it.org/19945/timemap/cdx?url="&amp;C51</f>
        <v>https://wayback.archive-it.org/19945/timemap/cdx?url=https://library.ethz.ch/standorte-und-medien/medientypen/zeitschriften-zeitungen.html</v>
      </c>
      <c r="K51" s="13"/>
    </row>
    <row r="52" ht="21.0" customHeight="1">
      <c r="A52" s="2" t="s">
        <v>173</v>
      </c>
      <c r="B52" s="3" t="s">
        <v>14</v>
      </c>
      <c r="C52" s="7" t="s">
        <v>174</v>
      </c>
      <c r="E52" s="2" t="s">
        <v>175</v>
      </c>
      <c r="F52" s="3" t="s">
        <v>27</v>
      </c>
      <c r="H52" s="5" t="str">
        <f t="shared" si="15"/>
        <v>https://wayback.archive-it.org/all/*/https://library.ethz.ch/forschen-und-publizieren/datenmanagement-und-policies/e-pics-bildverwaltung.html</v>
      </c>
      <c r="I52" s="6" t="str">
        <f t="shared" si="23"/>
        <v>https://wayback.archive-it.org/19945/*/https://library.ethz.ch/forschen-und-publizieren/datenmanagement-und-policies/e-pics-bildverwaltung.html</v>
      </c>
      <c r="J52" s="6" t="str">
        <f t="shared" si="24"/>
        <v>https://wayback.archive-it.org/19945/timemap/cdx?url=https://library.ethz.ch/forschen-und-publizieren/datenmanagement-und-policies/e-pics-bildverwaltung.html</v>
      </c>
      <c r="K52" s="13"/>
    </row>
    <row r="53" ht="21.0" customHeight="1">
      <c r="A53" s="2" t="s">
        <v>176</v>
      </c>
      <c r="B53" s="3" t="s">
        <v>14</v>
      </c>
      <c r="C53" s="7" t="s">
        <v>174</v>
      </c>
      <c r="E53" s="2" t="s">
        <v>177</v>
      </c>
      <c r="F53" s="3" t="s">
        <v>27</v>
      </c>
      <c r="H53" s="5" t="str">
        <f t="shared" si="15"/>
        <v>https://wayback.archive-it.org/all/*/https://library.ethz.ch/forschen-und-publizieren/datenmanagement-und-policies/e-pics-bildverwaltung.html</v>
      </c>
      <c r="I53" s="6" t="str">
        <f t="shared" si="23"/>
        <v>https://wayback.archive-it.org/19945/*/https://library.ethz.ch/forschen-und-publizieren/datenmanagement-und-policies/e-pics-bildverwaltung.html</v>
      </c>
      <c r="J53" s="6" t="str">
        <f t="shared" si="24"/>
        <v>https://wayback.archive-it.org/19945/timemap/cdx?url=https://library.ethz.ch/forschen-und-publizieren/datenmanagement-und-policies/e-pics-bildverwaltung.html</v>
      </c>
      <c r="K53" s="13"/>
    </row>
    <row r="54" ht="21.0" customHeight="1">
      <c r="A54" s="2" t="s">
        <v>178</v>
      </c>
      <c r="B54" s="3" t="s">
        <v>24</v>
      </c>
      <c r="E54" s="2" t="s">
        <v>179</v>
      </c>
      <c r="F54" s="3" t="s">
        <v>18</v>
      </c>
      <c r="H54" s="5" t="str">
        <f t="shared" si="15"/>
        <v>https://wayback.archive-it.org/all/*/</v>
      </c>
      <c r="I54" s="6" t="str">
        <f t="shared" si="23"/>
        <v>https://wayback.archive-it.org/19945/*/</v>
      </c>
      <c r="J54" s="6" t="str">
        <f t="shared" si="24"/>
        <v>https://wayback.archive-it.org/19945/timemap/cdx?url=</v>
      </c>
      <c r="K54" s="13"/>
    </row>
    <row r="55" ht="21.0" customHeight="1">
      <c r="A55" s="2" t="s">
        <v>180</v>
      </c>
      <c r="B55" s="3" t="s">
        <v>24</v>
      </c>
      <c r="D55" s="2"/>
      <c r="E55" s="2" t="s">
        <v>179</v>
      </c>
      <c r="F55" s="3" t="s">
        <v>181</v>
      </c>
      <c r="G55" s="20"/>
      <c r="H55" s="5" t="str">
        <f t="shared" si="15"/>
        <v>https://wayback.archive-it.org/all/*/</v>
      </c>
      <c r="I55" s="6" t="str">
        <f t="shared" si="23"/>
        <v>https://wayback.archive-it.org/19945/*/</v>
      </c>
      <c r="J55" s="6" t="str">
        <f t="shared" si="24"/>
        <v>https://wayback.archive-it.org/19945/timemap/cdx?url=</v>
      </c>
      <c r="K55" s="20"/>
      <c r="L55" s="20"/>
      <c r="M55" s="20"/>
    </row>
    <row r="56" ht="21.0" customHeight="1">
      <c r="A56" s="2" t="s">
        <v>182</v>
      </c>
      <c r="B56" s="3" t="s">
        <v>24</v>
      </c>
      <c r="C56" s="4" t="s">
        <v>183</v>
      </c>
      <c r="D56" s="2"/>
      <c r="E56" s="6" t="s">
        <v>184</v>
      </c>
      <c r="F56" s="3" t="s">
        <v>181</v>
      </c>
      <c r="G56" s="2" t="s">
        <v>185</v>
      </c>
      <c r="H56" s="5" t="str">
        <f t="shared" si="15"/>
        <v>https://wayback.archive-it.org/all/*/https://ethz.ch/en/news-and-events/events.html</v>
      </c>
      <c r="I56" s="6" t="str">
        <f t="shared" si="23"/>
        <v>https://wayback.archive-it.org/19945/*/https://ethz.ch/en/news-and-events/events.html</v>
      </c>
      <c r="J56" s="6" t="str">
        <f t="shared" si="24"/>
        <v>https://wayback.archive-it.org/19945/timemap/cdx?url=https://ethz.ch/en/news-and-events/events.html</v>
      </c>
      <c r="K56" s="20"/>
      <c r="L56" s="20"/>
      <c r="M56" s="20"/>
    </row>
    <row r="57" ht="21.0" customHeight="1">
      <c r="A57" s="2" t="s">
        <v>186</v>
      </c>
      <c r="B57" s="3" t="s">
        <v>24</v>
      </c>
      <c r="C57" s="4" t="s">
        <v>187</v>
      </c>
      <c r="D57" s="2"/>
      <c r="E57" s="2" t="s">
        <v>188</v>
      </c>
      <c r="F57" s="3" t="s">
        <v>189</v>
      </c>
      <c r="H57" s="5" t="str">
        <f t="shared" si="15"/>
        <v>https://wayback.archive-it.org/all/*/https://ethz.ch/staffnet/en/employment-and-work/employment/salary/family-allowance.html</v>
      </c>
      <c r="I57" s="6" t="str">
        <f t="shared" si="23"/>
        <v>https://wayback.archive-it.org/19945/*/https://ethz.ch/staffnet/en/employment-and-work/employment/salary/family-allowance.html</v>
      </c>
      <c r="J57" s="6" t="str">
        <f t="shared" si="24"/>
        <v>https://wayback.archive-it.org/19945/timemap/cdx?url=https://ethz.ch/staffnet/en/employment-and-work/employment/salary/family-allowance.html</v>
      </c>
      <c r="K57" s="20"/>
      <c r="L57" s="20"/>
      <c r="M57" s="20"/>
    </row>
    <row r="58" ht="21.0" customHeight="1">
      <c r="A58" s="2" t="s">
        <v>190</v>
      </c>
      <c r="B58" s="3" t="s">
        <v>24</v>
      </c>
      <c r="C58" s="4" t="s">
        <v>187</v>
      </c>
      <c r="D58" s="2"/>
      <c r="E58" s="2" t="s">
        <v>191</v>
      </c>
      <c r="F58" s="3" t="s">
        <v>189</v>
      </c>
      <c r="H58" s="5" t="str">
        <f t="shared" si="15"/>
        <v>https://wayback.archive-it.org/all/*/https://ethz.ch/staffnet/en/employment-and-work/employment/salary/family-allowance.html</v>
      </c>
      <c r="I58" s="6" t="str">
        <f t="shared" si="23"/>
        <v>https://wayback.archive-it.org/19945/*/https://ethz.ch/staffnet/en/employment-and-work/employment/salary/family-allowance.html</v>
      </c>
      <c r="J58" s="6" t="str">
        <f t="shared" si="24"/>
        <v>https://wayback.archive-it.org/19945/timemap/cdx?url=https://ethz.ch/staffnet/en/employment-and-work/employment/salary/family-allowance.html</v>
      </c>
      <c r="K58" s="20"/>
      <c r="L58" s="20"/>
      <c r="M58" s="20"/>
    </row>
    <row r="59" ht="21.0" customHeight="1">
      <c r="A59" s="2" t="s">
        <v>192</v>
      </c>
      <c r="B59" s="3" t="s">
        <v>24</v>
      </c>
      <c r="C59" s="4" t="s">
        <v>187</v>
      </c>
      <c r="D59" s="2"/>
      <c r="E59" s="2" t="s">
        <v>193</v>
      </c>
      <c r="F59" s="3" t="s">
        <v>189</v>
      </c>
      <c r="H59" s="5" t="str">
        <f t="shared" si="15"/>
        <v>https://wayback.archive-it.org/all/*/https://ethz.ch/staffnet/en/employment-and-work/employment/salary/family-allowance.html</v>
      </c>
      <c r="I59" s="6" t="str">
        <f t="shared" si="23"/>
        <v>https://wayback.archive-it.org/19945/*/https://ethz.ch/staffnet/en/employment-and-work/employment/salary/family-allowance.html</v>
      </c>
      <c r="J59" s="6" t="str">
        <f t="shared" si="24"/>
        <v>https://wayback.archive-it.org/19945/timemap/cdx?url=https://ethz.ch/staffnet/en/employment-and-work/employment/salary/family-allowance.html</v>
      </c>
      <c r="K59" s="20"/>
      <c r="L59" s="20"/>
      <c r="M59" s="20"/>
    </row>
    <row r="60" ht="21.0" customHeight="1">
      <c r="A60" s="2" t="s">
        <v>194</v>
      </c>
      <c r="B60" s="3" t="s">
        <v>24</v>
      </c>
      <c r="C60" s="4" t="s">
        <v>187</v>
      </c>
      <c r="D60" s="2"/>
      <c r="E60" s="2" t="s">
        <v>195</v>
      </c>
      <c r="F60" s="3" t="s">
        <v>189</v>
      </c>
      <c r="H60" s="5" t="str">
        <f t="shared" si="15"/>
        <v>https://wayback.archive-it.org/all/*/https://ethz.ch/staffnet/en/employment-and-work/employment/salary/family-allowance.html</v>
      </c>
      <c r="I60" s="6" t="str">
        <f t="shared" si="23"/>
        <v>https://wayback.archive-it.org/19945/*/https://ethz.ch/staffnet/en/employment-and-work/employment/salary/family-allowance.html</v>
      </c>
      <c r="J60" s="6" t="str">
        <f t="shared" si="24"/>
        <v>https://wayback.archive-it.org/19945/timemap/cdx?url=https://ethz.ch/staffnet/en/employment-and-work/employment/salary/family-allowance.html</v>
      </c>
      <c r="K60" s="20"/>
      <c r="L60" s="20"/>
      <c r="M60" s="20"/>
    </row>
    <row r="61" ht="21.0" customHeight="1">
      <c r="A61" s="2" t="s">
        <v>196</v>
      </c>
      <c r="B61" s="3" t="s">
        <v>24</v>
      </c>
      <c r="C61" s="4" t="s">
        <v>197</v>
      </c>
      <c r="D61" s="2"/>
      <c r="E61" s="2" t="s">
        <v>198</v>
      </c>
      <c r="F61" s="3" t="s">
        <v>189</v>
      </c>
      <c r="H61" s="5" t="str">
        <f t="shared" si="15"/>
        <v>https://wayback.archive-it.org/all/*/https://ethz.ch/staffnet/en/employment-and-work/employment/working-hours/holidays-leave.html</v>
      </c>
      <c r="I61" s="6" t="str">
        <f t="shared" si="23"/>
        <v>https://wayback.archive-it.org/19945/*/https://ethz.ch/staffnet/en/employment-and-work/employment/working-hours/holidays-leave.html</v>
      </c>
      <c r="J61" s="6" t="str">
        <f t="shared" si="24"/>
        <v>https://wayback.archive-it.org/19945/timemap/cdx?url=https://ethz.ch/staffnet/en/employment-and-work/employment/working-hours/holidays-leave.html</v>
      </c>
      <c r="K61" s="20"/>
      <c r="L61" s="20"/>
      <c r="M61" s="20"/>
    </row>
    <row r="62" ht="21.0" customHeight="1">
      <c r="A62" s="2" t="s">
        <v>199</v>
      </c>
      <c r="B62" s="3" t="s">
        <v>24</v>
      </c>
      <c r="C62" s="9" t="s">
        <v>200</v>
      </c>
      <c r="D62" s="2"/>
      <c r="E62" s="2" t="s">
        <v>201</v>
      </c>
      <c r="F62" s="3" t="s">
        <v>181</v>
      </c>
      <c r="H62" s="5" t="str">
        <f t="shared" si="15"/>
        <v>https://wayback.archive-it.org/all/*/https://ethz.ch/content/dam/ethz/associates/services/Anstellung-Arbeiten/Downloads/files/rechtliches/Personalverordnung_ETH_Bereich.pdf</v>
      </c>
      <c r="I62" s="6" t="str">
        <f t="shared" si="23"/>
        <v>https://wayback.archive-it.org/19945/*/https://ethz.ch/content/dam/ethz/associates/services/Anstellung-Arbeiten/Downloads/files/rechtliches/Personalverordnung_ETH_Bereich.pdf</v>
      </c>
      <c r="J62" s="6" t="str">
        <f t="shared" si="24"/>
        <v>https://wayback.archive-it.org/19945/timemap/cdx?url=https://ethz.ch/content/dam/ethz/associates/services/Anstellung-Arbeiten/Downloads/files/rechtliches/Personalverordnung_ETH_Bereich.pdf</v>
      </c>
      <c r="K62" s="20"/>
      <c r="L62" s="20"/>
      <c r="M62" s="20"/>
    </row>
    <row r="63" ht="21.0" customHeight="1">
      <c r="A63" s="2" t="s">
        <v>202</v>
      </c>
      <c r="B63" s="3" t="s">
        <v>24</v>
      </c>
      <c r="C63" s="7" t="s">
        <v>200</v>
      </c>
      <c r="D63" s="2"/>
      <c r="E63" s="2" t="s">
        <v>203</v>
      </c>
      <c r="F63" s="3" t="s">
        <v>181</v>
      </c>
      <c r="H63" s="5" t="str">
        <f t="shared" si="15"/>
        <v>https://wayback.archive-it.org/all/*/https://ethz.ch/content/dam/ethz/associates/services/Anstellung-Arbeiten/Downloads/files/rechtliches/Personalverordnung_ETH_Bereich.pdf</v>
      </c>
      <c r="I63" s="6" t="str">
        <f t="shared" si="23"/>
        <v>https://wayback.archive-it.org/19945/*/https://ethz.ch/content/dam/ethz/associates/services/Anstellung-Arbeiten/Downloads/files/rechtliches/Personalverordnung_ETH_Bereich.pdf</v>
      </c>
      <c r="J63" s="6" t="str">
        <f t="shared" si="24"/>
        <v>https://wayback.archive-it.org/19945/timemap/cdx?url=https://ethz.ch/content/dam/ethz/associates/services/Anstellung-Arbeiten/Downloads/files/rechtliches/Personalverordnung_ETH_Bereich.pdf</v>
      </c>
      <c r="K63" s="20"/>
      <c r="L63" s="20"/>
      <c r="M63" s="20"/>
    </row>
    <row r="64" ht="21.0" customHeight="1">
      <c r="A64" s="2" t="s">
        <v>204</v>
      </c>
      <c r="B64" s="3" t="s">
        <v>24</v>
      </c>
      <c r="C64" s="4" t="s">
        <v>200</v>
      </c>
      <c r="D64" s="2"/>
      <c r="E64" s="2" t="s">
        <v>205</v>
      </c>
      <c r="F64" s="3" t="s">
        <v>181</v>
      </c>
      <c r="H64" s="5" t="str">
        <f t="shared" si="15"/>
        <v>https://wayback.archive-it.org/all/*/https://ethz.ch/content/dam/ethz/associates/services/Anstellung-Arbeiten/Downloads/files/rechtliches/Personalverordnung_ETH_Bereich.pdf</v>
      </c>
      <c r="I64" s="6" t="str">
        <f t="shared" si="23"/>
        <v>https://wayback.archive-it.org/19945/*/https://ethz.ch/content/dam/ethz/associates/services/Anstellung-Arbeiten/Downloads/files/rechtliches/Personalverordnung_ETH_Bereich.pdf</v>
      </c>
      <c r="J64" s="6" t="str">
        <f t="shared" si="24"/>
        <v>https://wayback.archive-it.org/19945/timemap/cdx?url=https://ethz.ch/content/dam/ethz/associates/services/Anstellung-Arbeiten/Downloads/files/rechtliches/Personalverordnung_ETH_Bereich.pdf</v>
      </c>
      <c r="K64" s="20"/>
      <c r="L64" s="20"/>
      <c r="M64" s="20"/>
    </row>
    <row r="65" ht="21.0" customHeight="1">
      <c r="A65" s="2" t="s">
        <v>206</v>
      </c>
      <c r="B65" s="3" t="s">
        <v>24</v>
      </c>
      <c r="C65" s="4" t="s">
        <v>200</v>
      </c>
      <c r="D65" s="2"/>
      <c r="E65" s="2" t="s">
        <v>207</v>
      </c>
      <c r="F65" s="3" t="s">
        <v>181</v>
      </c>
      <c r="H65" s="5" t="str">
        <f t="shared" si="15"/>
        <v>https://wayback.archive-it.org/all/*/https://ethz.ch/content/dam/ethz/associates/services/Anstellung-Arbeiten/Downloads/files/rechtliches/Personalverordnung_ETH_Bereich.pdf</v>
      </c>
      <c r="I65" s="6" t="str">
        <f t="shared" si="23"/>
        <v>https://wayback.archive-it.org/19945/*/https://ethz.ch/content/dam/ethz/associates/services/Anstellung-Arbeiten/Downloads/files/rechtliches/Personalverordnung_ETH_Bereich.pdf</v>
      </c>
      <c r="J65" s="6" t="str">
        <f t="shared" si="24"/>
        <v>https://wayback.archive-it.org/19945/timemap/cdx?url=https://ethz.ch/content/dam/ethz/associates/services/Anstellung-Arbeiten/Downloads/files/rechtliches/Personalverordnung_ETH_Bereich.pdf</v>
      </c>
      <c r="K65" s="20"/>
      <c r="L65" s="20"/>
      <c r="M65" s="20"/>
    </row>
    <row r="66" ht="21.0" customHeight="1">
      <c r="A66" s="2" t="s">
        <v>208</v>
      </c>
      <c r="B66" s="3" t="s">
        <v>24</v>
      </c>
      <c r="C66" s="4" t="s">
        <v>209</v>
      </c>
      <c r="D66" s="9" t="s">
        <v>197</v>
      </c>
      <c r="E66" s="2" t="s">
        <v>210</v>
      </c>
      <c r="F66" s="3" t="s">
        <v>181</v>
      </c>
      <c r="H66" s="5" t="str">
        <f t="shared" si="15"/>
        <v>https://wayback.archive-it.org/all/*/https://ethz.ch/staffnet/en/employment-and-work/employment/working-hours.html</v>
      </c>
      <c r="I66" s="6" t="str">
        <f t="shared" si="23"/>
        <v>https://wayback.archive-it.org/19945/*/https://ethz.ch/staffnet/en/employment-and-work/employment/working-hours.html</v>
      </c>
      <c r="J66" s="6" t="str">
        <f t="shared" si="24"/>
        <v>https://wayback.archive-it.org/19945/timemap/cdx?url=https://ethz.ch/staffnet/en/employment-and-work/employment/working-hours.html</v>
      </c>
      <c r="K66" s="21" t="str">
        <f>"https://wayback.archive-it.org/all/*/"&amp;D66</f>
        <v>https://wayback.archive-it.org/all/*/https://ethz.ch/staffnet/en/employment-and-work/employment/working-hours/holidays-leave.html</v>
      </c>
      <c r="L66" s="21" t="str">
        <f>"https://wayback.archive-it.org/19945/*/"&amp;D66</f>
        <v>https://wayback.archive-it.org/19945/*/https://ethz.ch/staffnet/en/employment-and-work/employment/working-hours/holidays-leave.html</v>
      </c>
      <c r="M66" s="21" t="str">
        <f>"https://wayback.archive-it.org/19945/timemap/cdx?url="&amp;D66</f>
        <v>https://wayback.archive-it.org/19945/timemap/cdx?url=https://ethz.ch/staffnet/en/employment-and-work/employment/working-hours/holidays-leave.html</v>
      </c>
    </row>
    <row r="67" ht="21.0" customHeight="1">
      <c r="A67" s="2" t="s">
        <v>211</v>
      </c>
      <c r="B67" s="3" t="s">
        <v>24</v>
      </c>
      <c r="C67" s="4" t="s">
        <v>212</v>
      </c>
      <c r="D67" s="2"/>
      <c r="E67" s="2" t="s">
        <v>213</v>
      </c>
      <c r="F67" s="3" t="s">
        <v>189</v>
      </c>
      <c r="H67" s="5" t="str">
        <f t="shared" si="15"/>
        <v>https://wayback.archive-it.org/all/*/https://ethz.ch/students/en/news/academic-calendar.html</v>
      </c>
      <c r="I67" s="6" t="str">
        <f t="shared" si="23"/>
        <v>https://wayback.archive-it.org/19945/*/https://ethz.ch/students/en/news/academic-calendar.html</v>
      </c>
      <c r="J67" s="6" t="str">
        <f t="shared" si="24"/>
        <v>https://wayback.archive-it.org/19945/timemap/cdx?url=https://ethz.ch/students/en/news/academic-calendar.html</v>
      </c>
      <c r="K67" s="20"/>
      <c r="L67" s="20"/>
      <c r="M67" s="20"/>
    </row>
    <row r="68" ht="21.0" customHeight="1">
      <c r="A68" s="2" t="s">
        <v>214</v>
      </c>
      <c r="B68" s="3" t="s">
        <v>24</v>
      </c>
      <c r="C68" s="4" t="s">
        <v>215</v>
      </c>
      <c r="D68" s="2"/>
      <c r="E68" s="2" t="s">
        <v>216</v>
      </c>
      <c r="F68" s="3" t="s">
        <v>189</v>
      </c>
      <c r="H68" s="5" t="str">
        <f t="shared" si="15"/>
        <v>https://wayback.archive-it.org/all/*/https://ethz.ch/staffnet/en/employment-and-work/employment/working-hours/recording-working-time-and-absences.html</v>
      </c>
      <c r="I68" s="6" t="str">
        <f t="shared" si="23"/>
        <v>https://wayback.archive-it.org/19945/*/https://ethz.ch/staffnet/en/employment-and-work/employment/working-hours/recording-working-time-and-absences.html</v>
      </c>
      <c r="J68" s="6" t="str">
        <f t="shared" si="24"/>
        <v>https://wayback.archive-it.org/19945/timemap/cdx?url=https://ethz.ch/staffnet/en/employment-and-work/employment/working-hours/recording-working-time-and-absences.html</v>
      </c>
      <c r="K68" s="20"/>
      <c r="L68" s="20"/>
      <c r="M68" s="20"/>
    </row>
    <row r="69" ht="21.0" customHeight="1">
      <c r="A69" s="2" t="s">
        <v>217</v>
      </c>
      <c r="B69" s="3" t="s">
        <v>24</v>
      </c>
      <c r="C69" s="4" t="s">
        <v>209</v>
      </c>
      <c r="D69" s="2"/>
      <c r="E69" s="2" t="s">
        <v>218</v>
      </c>
      <c r="F69" s="3" t="s">
        <v>189</v>
      </c>
      <c r="H69" s="5" t="str">
        <f t="shared" si="15"/>
        <v>https://wayback.archive-it.org/all/*/https://ethz.ch/staffnet/en/employment-and-work/employment/working-hours.html</v>
      </c>
      <c r="I69" s="6" t="str">
        <f t="shared" si="23"/>
        <v>https://wayback.archive-it.org/19945/*/https://ethz.ch/staffnet/en/employment-and-work/employment/working-hours.html</v>
      </c>
      <c r="J69" s="6" t="str">
        <f t="shared" si="24"/>
        <v>https://wayback.archive-it.org/19945/timemap/cdx?url=https://ethz.ch/staffnet/en/employment-and-work/employment/working-hours.html</v>
      </c>
      <c r="K69" s="20"/>
      <c r="L69" s="20"/>
      <c r="M69" s="20"/>
    </row>
    <row r="70" ht="21.0" customHeight="1">
      <c r="A70" s="2" t="s">
        <v>219</v>
      </c>
      <c r="B70" s="3" t="s">
        <v>24</v>
      </c>
      <c r="D70" s="2"/>
      <c r="E70" s="2" t="s">
        <v>179</v>
      </c>
      <c r="F70" s="3" t="s">
        <v>181</v>
      </c>
      <c r="H70" s="5" t="str">
        <f t="shared" si="15"/>
        <v>https://wayback.archive-it.org/all/*/</v>
      </c>
      <c r="I70" s="6" t="str">
        <f t="shared" si="23"/>
        <v>https://wayback.archive-it.org/19945/*/</v>
      </c>
      <c r="J70" s="6" t="str">
        <f t="shared" si="24"/>
        <v>https://wayback.archive-it.org/19945/timemap/cdx?url=</v>
      </c>
      <c r="K70" s="20"/>
      <c r="L70" s="20"/>
      <c r="M70" s="20"/>
    </row>
    <row r="71" ht="21.0" customHeight="1">
      <c r="A71" s="2" t="s">
        <v>220</v>
      </c>
      <c r="B71" s="3" t="s">
        <v>24</v>
      </c>
      <c r="C71" s="4" t="s">
        <v>221</v>
      </c>
      <c r="D71" s="2"/>
      <c r="E71" s="2" t="s">
        <v>222</v>
      </c>
      <c r="F71" s="3" t="s">
        <v>181</v>
      </c>
      <c r="H71" s="5" t="str">
        <f t="shared" si="15"/>
        <v>https://wayback.archive-it.org/all/*/https://ethz.ch/en/utils/contact.html</v>
      </c>
      <c r="I71" s="6" t="str">
        <f t="shared" si="23"/>
        <v>https://wayback.archive-it.org/19945/*/https://ethz.ch/en/utils/contact.html</v>
      </c>
      <c r="J71" s="6" t="str">
        <f t="shared" si="24"/>
        <v>https://wayback.archive-it.org/19945/timemap/cdx?url=https://ethz.ch/en/utils/contact.html</v>
      </c>
      <c r="K71" s="20"/>
      <c r="L71" s="20"/>
      <c r="M71" s="20"/>
    </row>
    <row r="72" ht="21.0" customHeight="1">
      <c r="A72" s="2" t="s">
        <v>223</v>
      </c>
      <c r="B72" s="3" t="s">
        <v>24</v>
      </c>
      <c r="C72" s="4" t="s">
        <v>221</v>
      </c>
      <c r="D72" s="2"/>
      <c r="E72" s="2" t="s">
        <v>224</v>
      </c>
      <c r="F72" s="3" t="s">
        <v>181</v>
      </c>
      <c r="H72" s="5" t="str">
        <f t="shared" si="15"/>
        <v>https://wayback.archive-it.org/all/*/https://ethz.ch/en/utils/contact.html</v>
      </c>
      <c r="I72" s="6" t="str">
        <f t="shared" si="23"/>
        <v>https://wayback.archive-it.org/19945/*/https://ethz.ch/en/utils/contact.html</v>
      </c>
      <c r="J72" s="6" t="str">
        <f t="shared" si="24"/>
        <v>https://wayback.archive-it.org/19945/timemap/cdx?url=https://ethz.ch/en/utils/contact.html</v>
      </c>
      <c r="K72" s="20"/>
      <c r="L72" s="20"/>
      <c r="M72" s="20"/>
    </row>
    <row r="73" ht="21.0" customHeight="1">
      <c r="A73" s="2" t="s">
        <v>225</v>
      </c>
      <c r="B73" s="3" t="s">
        <v>24</v>
      </c>
      <c r="C73" s="4" t="s">
        <v>226</v>
      </c>
      <c r="D73" s="2"/>
      <c r="E73" s="2" t="s">
        <v>227</v>
      </c>
      <c r="F73" s="3" t="s">
        <v>181</v>
      </c>
      <c r="H73" s="5" t="str">
        <f t="shared" si="15"/>
        <v>https://wayback.archive-it.org/all/*/https://ai.ethz.ch/about-us/how-to-find-us.html</v>
      </c>
      <c r="I73" s="6" t="str">
        <f t="shared" si="23"/>
        <v>https://wayback.archive-it.org/19945/*/https://ai.ethz.ch/about-us/how-to-find-us.html</v>
      </c>
      <c r="J73" s="6" t="str">
        <f t="shared" si="24"/>
        <v>https://wayback.archive-it.org/19945/timemap/cdx?url=https://ai.ethz.ch/about-us/how-to-find-us.html</v>
      </c>
      <c r="K73" s="20"/>
      <c r="L73" s="20"/>
      <c r="M73" s="20"/>
    </row>
    <row r="74" ht="21.0" customHeight="1">
      <c r="A74" s="2" t="s">
        <v>228</v>
      </c>
      <c r="B74" s="3" t="s">
        <v>24</v>
      </c>
      <c r="C74" s="4" t="s">
        <v>229</v>
      </c>
      <c r="D74" s="2"/>
      <c r="E74" s="6" t="s">
        <v>230</v>
      </c>
      <c r="F74" s="3" t="s">
        <v>181</v>
      </c>
      <c r="H74" s="5" t="str">
        <f t="shared" si="15"/>
        <v>https://wayback.archive-it.org/all/*/https://ethz.ch/de/campus/erreichen/hoenggerberg.html</v>
      </c>
      <c r="I74" s="6" t="str">
        <f t="shared" si="23"/>
        <v>https://wayback.archive-it.org/19945/*/https://ethz.ch/de/campus/erreichen/hoenggerberg.html</v>
      </c>
      <c r="J74" s="6" t="str">
        <f t="shared" si="24"/>
        <v>https://wayback.archive-it.org/19945/timemap/cdx?url=https://ethz.ch/de/campus/erreichen/hoenggerberg.html</v>
      </c>
      <c r="K74" s="20"/>
      <c r="L74" s="20"/>
      <c r="M74" s="20"/>
    </row>
    <row r="75" ht="21.0" customHeight="1">
      <c r="A75" s="2" t="s">
        <v>231</v>
      </c>
      <c r="B75" s="3" t="s">
        <v>24</v>
      </c>
      <c r="C75" s="4" t="s">
        <v>232</v>
      </c>
      <c r="D75" s="2"/>
      <c r="E75" s="2" t="s">
        <v>233</v>
      </c>
      <c r="F75" s="3" t="s">
        <v>189</v>
      </c>
      <c r="H75" s="5" t="str">
        <f t="shared" si="15"/>
        <v>https://wayback.archive-it.org/all/*/https://ethz.ch/content/dam/ethz/main/campus/campus-erleben/lernen-arbeiten/anreise-campus-info-hoenggerberg-en.pdf</v>
      </c>
      <c r="I75" s="6" t="str">
        <f t="shared" si="23"/>
        <v>https://wayback.archive-it.org/19945/*/https://ethz.ch/content/dam/ethz/main/campus/campus-erleben/lernen-arbeiten/anreise-campus-info-hoenggerberg-en.pdf</v>
      </c>
      <c r="J75" s="6" t="str">
        <f t="shared" si="24"/>
        <v>https://wayback.archive-it.org/19945/timemap/cdx?url=https://ethz.ch/content/dam/ethz/main/campus/campus-erleben/lernen-arbeiten/anreise-campus-info-hoenggerberg-en.pdf</v>
      </c>
      <c r="K75" s="20"/>
      <c r="L75" s="20"/>
      <c r="M75" s="20"/>
    </row>
    <row r="76" ht="21.0" customHeight="1">
      <c r="A76" s="2" t="s">
        <v>234</v>
      </c>
      <c r="B76" s="3" t="s">
        <v>24</v>
      </c>
      <c r="C76" s="9" t="s">
        <v>235</v>
      </c>
      <c r="D76" s="2"/>
      <c r="E76" s="2" t="s">
        <v>236</v>
      </c>
      <c r="F76" s="3" t="s">
        <v>181</v>
      </c>
      <c r="H76" s="5" t="str">
        <f t="shared" si="15"/>
        <v>https://wayback.archive-it.org/all/*/https://ethz.ch/en/the-eth-zurich/organisation/executive-board/president.html</v>
      </c>
      <c r="I76" s="6" t="str">
        <f t="shared" si="23"/>
        <v>https://wayback.archive-it.org/19945/*/https://ethz.ch/en/the-eth-zurich/organisation/executive-board/president.html</v>
      </c>
      <c r="J76" s="6" t="str">
        <f t="shared" si="24"/>
        <v>https://wayback.archive-it.org/19945/timemap/cdx?url=https://ethz.ch/en/the-eth-zurich/organisation/executive-board/president.html</v>
      </c>
      <c r="K76" s="20"/>
      <c r="L76" s="20"/>
      <c r="M76" s="20"/>
    </row>
    <row r="77" ht="21.0" customHeight="1">
      <c r="A77" s="2" t="s">
        <v>237</v>
      </c>
      <c r="B77" s="3" t="s">
        <v>24</v>
      </c>
      <c r="C77" s="9" t="s">
        <v>238</v>
      </c>
      <c r="D77" s="9" t="s">
        <v>209</v>
      </c>
      <c r="E77" s="2" t="s">
        <v>239</v>
      </c>
      <c r="F77" s="3" t="s">
        <v>189</v>
      </c>
      <c r="G77" s="2" t="s">
        <v>240</v>
      </c>
      <c r="H77" s="5" t="str">
        <f t="shared" si="15"/>
        <v>https://wayback.archive-it.org/all/*/https://ethz.ch/content/dam/ethz/associates/services/Anstellung-Arbeiten/Downloads/files/rechtliches/Brochure_Personnel_Law.pdf</v>
      </c>
      <c r="I77" s="6" t="str">
        <f t="shared" si="23"/>
        <v>https://wayback.archive-it.org/19945/*/https://ethz.ch/content/dam/ethz/associates/services/Anstellung-Arbeiten/Downloads/files/rechtliches/Brochure_Personnel_Law.pdf</v>
      </c>
      <c r="J77" s="6" t="str">
        <f t="shared" si="24"/>
        <v>https://wayback.archive-it.org/19945/timemap/cdx?url=https://ethz.ch/content/dam/ethz/associates/services/Anstellung-Arbeiten/Downloads/files/rechtliches/Brochure_Personnel_Law.pdf</v>
      </c>
      <c r="K77" s="21" t="str">
        <f t="shared" ref="K77:K95" si="25">"https://wayback.archive-it.org/all/*/"&amp;D77</f>
        <v>https://wayback.archive-it.org/all/*/https://ethz.ch/staffnet/en/employment-and-work/employment/working-hours.html</v>
      </c>
      <c r="L77" s="21" t="str">
        <f t="shared" ref="L77:L95" si="26">"https://wayback.archive-it.org/19945/*/"&amp;D77</f>
        <v>https://wayback.archive-it.org/19945/*/https://ethz.ch/staffnet/en/employment-and-work/employment/working-hours.html</v>
      </c>
      <c r="M77" s="21" t="str">
        <f t="shared" ref="M77:M95" si="27">"https://wayback.archive-it.org/19945/timemap/cdx?url="&amp;D77</f>
        <v>https://wayback.archive-it.org/19945/timemap/cdx?url=https://ethz.ch/staffnet/en/employment-and-work/employment/working-hours.html</v>
      </c>
    </row>
    <row r="78" ht="21.0" customHeight="1">
      <c r="A78" s="2" t="s">
        <v>241</v>
      </c>
      <c r="B78" s="3" t="s">
        <v>24</v>
      </c>
      <c r="C78" s="9" t="s">
        <v>238</v>
      </c>
      <c r="D78" s="9" t="s">
        <v>209</v>
      </c>
      <c r="E78" s="2" t="s">
        <v>242</v>
      </c>
      <c r="F78" s="3" t="s">
        <v>189</v>
      </c>
      <c r="G78" s="2" t="s">
        <v>240</v>
      </c>
      <c r="H78" s="5" t="str">
        <f t="shared" si="15"/>
        <v>https://wayback.archive-it.org/all/*/https://ethz.ch/content/dam/ethz/associates/services/Anstellung-Arbeiten/Downloads/files/rechtliches/Brochure_Personnel_Law.pdf</v>
      </c>
      <c r="I78" s="6" t="str">
        <f t="shared" si="23"/>
        <v>https://wayback.archive-it.org/19945/*/https://ethz.ch/content/dam/ethz/associates/services/Anstellung-Arbeiten/Downloads/files/rechtliches/Brochure_Personnel_Law.pdf</v>
      </c>
      <c r="J78" s="6" t="str">
        <f t="shared" si="24"/>
        <v>https://wayback.archive-it.org/19945/timemap/cdx?url=https://ethz.ch/content/dam/ethz/associates/services/Anstellung-Arbeiten/Downloads/files/rechtliches/Brochure_Personnel_Law.pdf</v>
      </c>
      <c r="K78" s="21" t="str">
        <f t="shared" si="25"/>
        <v>https://wayback.archive-it.org/all/*/https://ethz.ch/staffnet/en/employment-and-work/employment/working-hours.html</v>
      </c>
      <c r="L78" s="21" t="str">
        <f t="shared" si="26"/>
        <v>https://wayback.archive-it.org/19945/*/https://ethz.ch/staffnet/en/employment-and-work/employment/working-hours.html</v>
      </c>
      <c r="M78" s="21" t="str">
        <f t="shared" si="27"/>
        <v>https://wayback.archive-it.org/19945/timemap/cdx?url=https://ethz.ch/staffnet/en/employment-and-work/employment/working-hours.html</v>
      </c>
    </row>
    <row r="79" ht="21.0" customHeight="1">
      <c r="A79" s="2" t="s">
        <v>243</v>
      </c>
      <c r="B79" s="3" t="s">
        <v>24</v>
      </c>
      <c r="C79" s="9" t="s">
        <v>238</v>
      </c>
      <c r="D79" s="9" t="s">
        <v>209</v>
      </c>
      <c r="E79" s="2" t="s">
        <v>244</v>
      </c>
      <c r="F79" s="3" t="s">
        <v>189</v>
      </c>
      <c r="G79" s="2" t="s">
        <v>240</v>
      </c>
      <c r="H79" s="5" t="str">
        <f t="shared" si="15"/>
        <v>https://wayback.archive-it.org/all/*/https://ethz.ch/content/dam/ethz/associates/services/Anstellung-Arbeiten/Downloads/files/rechtliches/Brochure_Personnel_Law.pdf</v>
      </c>
      <c r="I79" s="6" t="str">
        <f t="shared" si="23"/>
        <v>https://wayback.archive-it.org/19945/*/https://ethz.ch/content/dam/ethz/associates/services/Anstellung-Arbeiten/Downloads/files/rechtliches/Brochure_Personnel_Law.pdf</v>
      </c>
      <c r="J79" s="6" t="str">
        <f t="shared" si="24"/>
        <v>https://wayback.archive-it.org/19945/timemap/cdx?url=https://ethz.ch/content/dam/ethz/associates/services/Anstellung-Arbeiten/Downloads/files/rechtliches/Brochure_Personnel_Law.pdf</v>
      </c>
      <c r="K79" s="21" t="str">
        <f t="shared" si="25"/>
        <v>https://wayback.archive-it.org/all/*/https://ethz.ch/staffnet/en/employment-and-work/employment/working-hours.html</v>
      </c>
      <c r="L79" s="21" t="str">
        <f t="shared" si="26"/>
        <v>https://wayback.archive-it.org/19945/*/https://ethz.ch/staffnet/en/employment-and-work/employment/working-hours.html</v>
      </c>
      <c r="M79" s="21" t="str">
        <f t="shared" si="27"/>
        <v>https://wayback.archive-it.org/19945/timemap/cdx?url=https://ethz.ch/staffnet/en/employment-and-work/employment/working-hours.html</v>
      </c>
    </row>
    <row r="80" ht="21.0" customHeight="1">
      <c r="A80" s="2" t="s">
        <v>245</v>
      </c>
      <c r="B80" s="3" t="s">
        <v>24</v>
      </c>
      <c r="C80" s="9" t="s">
        <v>238</v>
      </c>
      <c r="D80" s="9" t="s">
        <v>209</v>
      </c>
      <c r="E80" s="2" t="s">
        <v>246</v>
      </c>
      <c r="F80" s="3" t="s">
        <v>189</v>
      </c>
      <c r="G80" s="2" t="s">
        <v>240</v>
      </c>
      <c r="H80" s="5" t="str">
        <f t="shared" si="15"/>
        <v>https://wayback.archive-it.org/all/*/https://ethz.ch/content/dam/ethz/associates/services/Anstellung-Arbeiten/Downloads/files/rechtliches/Brochure_Personnel_Law.pdf</v>
      </c>
      <c r="I80" s="6" t="str">
        <f t="shared" si="23"/>
        <v>https://wayback.archive-it.org/19945/*/https://ethz.ch/content/dam/ethz/associates/services/Anstellung-Arbeiten/Downloads/files/rechtliches/Brochure_Personnel_Law.pdf</v>
      </c>
      <c r="J80" s="6" t="str">
        <f t="shared" si="24"/>
        <v>https://wayback.archive-it.org/19945/timemap/cdx?url=https://ethz.ch/content/dam/ethz/associates/services/Anstellung-Arbeiten/Downloads/files/rechtliches/Brochure_Personnel_Law.pdf</v>
      </c>
      <c r="K80" s="21" t="str">
        <f t="shared" si="25"/>
        <v>https://wayback.archive-it.org/all/*/https://ethz.ch/staffnet/en/employment-and-work/employment/working-hours.html</v>
      </c>
      <c r="L80" s="21" t="str">
        <f t="shared" si="26"/>
        <v>https://wayback.archive-it.org/19945/*/https://ethz.ch/staffnet/en/employment-and-work/employment/working-hours.html</v>
      </c>
      <c r="M80" s="21" t="str">
        <f t="shared" si="27"/>
        <v>https://wayback.archive-it.org/19945/timemap/cdx?url=https://ethz.ch/staffnet/en/employment-and-work/employment/working-hours.html</v>
      </c>
    </row>
    <row r="81" ht="21.0" customHeight="1">
      <c r="A81" s="2" t="s">
        <v>247</v>
      </c>
      <c r="B81" s="3" t="s">
        <v>24</v>
      </c>
      <c r="C81" s="9" t="s">
        <v>238</v>
      </c>
      <c r="D81" s="9" t="s">
        <v>209</v>
      </c>
      <c r="E81" s="2" t="s">
        <v>248</v>
      </c>
      <c r="F81" s="3" t="s">
        <v>189</v>
      </c>
      <c r="G81" s="2" t="s">
        <v>240</v>
      </c>
      <c r="H81" s="5" t="str">
        <f t="shared" si="15"/>
        <v>https://wayback.archive-it.org/all/*/https://ethz.ch/content/dam/ethz/associates/services/Anstellung-Arbeiten/Downloads/files/rechtliches/Brochure_Personnel_Law.pdf</v>
      </c>
      <c r="I81" s="6" t="str">
        <f t="shared" si="23"/>
        <v>https://wayback.archive-it.org/19945/*/https://ethz.ch/content/dam/ethz/associates/services/Anstellung-Arbeiten/Downloads/files/rechtliches/Brochure_Personnel_Law.pdf</v>
      </c>
      <c r="J81" s="6" t="str">
        <f t="shared" si="24"/>
        <v>https://wayback.archive-it.org/19945/timemap/cdx?url=https://ethz.ch/content/dam/ethz/associates/services/Anstellung-Arbeiten/Downloads/files/rechtliches/Brochure_Personnel_Law.pdf</v>
      </c>
      <c r="K81" s="21" t="str">
        <f t="shared" si="25"/>
        <v>https://wayback.archive-it.org/all/*/https://ethz.ch/staffnet/en/employment-and-work/employment/working-hours.html</v>
      </c>
      <c r="L81" s="21" t="str">
        <f t="shared" si="26"/>
        <v>https://wayback.archive-it.org/19945/*/https://ethz.ch/staffnet/en/employment-and-work/employment/working-hours.html</v>
      </c>
      <c r="M81" s="21" t="str">
        <f t="shared" si="27"/>
        <v>https://wayback.archive-it.org/19945/timemap/cdx?url=https://ethz.ch/staffnet/en/employment-and-work/employment/working-hours.html</v>
      </c>
    </row>
    <row r="82" ht="21.0" customHeight="1">
      <c r="A82" s="2" t="s">
        <v>249</v>
      </c>
      <c r="B82" s="3" t="s">
        <v>24</v>
      </c>
      <c r="C82" s="9" t="s">
        <v>238</v>
      </c>
      <c r="D82" s="9" t="s">
        <v>209</v>
      </c>
      <c r="E82" s="2" t="s">
        <v>250</v>
      </c>
      <c r="F82" s="3" t="s">
        <v>189</v>
      </c>
      <c r="G82" s="2" t="s">
        <v>240</v>
      </c>
      <c r="H82" s="5" t="str">
        <f t="shared" si="15"/>
        <v>https://wayback.archive-it.org/all/*/https://ethz.ch/content/dam/ethz/associates/services/Anstellung-Arbeiten/Downloads/files/rechtliches/Brochure_Personnel_Law.pdf</v>
      </c>
      <c r="I82" s="6" t="str">
        <f t="shared" si="23"/>
        <v>https://wayback.archive-it.org/19945/*/https://ethz.ch/content/dam/ethz/associates/services/Anstellung-Arbeiten/Downloads/files/rechtliches/Brochure_Personnel_Law.pdf</v>
      </c>
      <c r="J82" s="6" t="str">
        <f t="shared" si="24"/>
        <v>https://wayback.archive-it.org/19945/timemap/cdx?url=https://ethz.ch/content/dam/ethz/associates/services/Anstellung-Arbeiten/Downloads/files/rechtliches/Brochure_Personnel_Law.pdf</v>
      </c>
      <c r="K82" s="21" t="str">
        <f t="shared" si="25"/>
        <v>https://wayback.archive-it.org/all/*/https://ethz.ch/staffnet/en/employment-and-work/employment/working-hours.html</v>
      </c>
      <c r="L82" s="21" t="str">
        <f t="shared" si="26"/>
        <v>https://wayback.archive-it.org/19945/*/https://ethz.ch/staffnet/en/employment-and-work/employment/working-hours.html</v>
      </c>
      <c r="M82" s="21" t="str">
        <f t="shared" si="27"/>
        <v>https://wayback.archive-it.org/19945/timemap/cdx?url=https://ethz.ch/staffnet/en/employment-and-work/employment/working-hours.html</v>
      </c>
    </row>
    <row r="83" ht="21.0" customHeight="1">
      <c r="A83" s="2" t="s">
        <v>251</v>
      </c>
      <c r="B83" s="3" t="s">
        <v>24</v>
      </c>
      <c r="C83" s="9" t="s">
        <v>238</v>
      </c>
      <c r="D83" s="9" t="s">
        <v>209</v>
      </c>
      <c r="E83" s="2" t="s">
        <v>252</v>
      </c>
      <c r="F83" s="3" t="s">
        <v>189</v>
      </c>
      <c r="G83" s="2" t="s">
        <v>240</v>
      </c>
      <c r="H83" s="5" t="str">
        <f t="shared" si="15"/>
        <v>https://wayback.archive-it.org/all/*/https://ethz.ch/content/dam/ethz/associates/services/Anstellung-Arbeiten/Downloads/files/rechtliches/Brochure_Personnel_Law.pdf</v>
      </c>
      <c r="I83" s="6" t="str">
        <f t="shared" si="23"/>
        <v>https://wayback.archive-it.org/19945/*/https://ethz.ch/content/dam/ethz/associates/services/Anstellung-Arbeiten/Downloads/files/rechtliches/Brochure_Personnel_Law.pdf</v>
      </c>
      <c r="J83" s="6" t="str">
        <f t="shared" si="24"/>
        <v>https://wayback.archive-it.org/19945/timemap/cdx?url=https://ethz.ch/content/dam/ethz/associates/services/Anstellung-Arbeiten/Downloads/files/rechtliches/Brochure_Personnel_Law.pdf</v>
      </c>
      <c r="K83" s="21" t="str">
        <f t="shared" si="25"/>
        <v>https://wayback.archive-it.org/all/*/https://ethz.ch/staffnet/en/employment-and-work/employment/working-hours.html</v>
      </c>
      <c r="L83" s="21" t="str">
        <f t="shared" si="26"/>
        <v>https://wayback.archive-it.org/19945/*/https://ethz.ch/staffnet/en/employment-and-work/employment/working-hours.html</v>
      </c>
      <c r="M83" s="21" t="str">
        <f t="shared" si="27"/>
        <v>https://wayback.archive-it.org/19945/timemap/cdx?url=https://ethz.ch/staffnet/en/employment-and-work/employment/working-hours.html</v>
      </c>
    </row>
    <row r="84" ht="21.0" customHeight="1">
      <c r="A84" s="2" t="s">
        <v>253</v>
      </c>
      <c r="B84" s="3" t="s">
        <v>24</v>
      </c>
      <c r="C84" s="9" t="s">
        <v>238</v>
      </c>
      <c r="D84" s="9" t="s">
        <v>209</v>
      </c>
      <c r="E84" s="2" t="s">
        <v>254</v>
      </c>
      <c r="F84" s="3" t="s">
        <v>189</v>
      </c>
      <c r="G84" s="2" t="s">
        <v>240</v>
      </c>
      <c r="H84" s="5" t="str">
        <f t="shared" si="15"/>
        <v>https://wayback.archive-it.org/all/*/https://ethz.ch/content/dam/ethz/associates/services/Anstellung-Arbeiten/Downloads/files/rechtliches/Brochure_Personnel_Law.pdf</v>
      </c>
      <c r="I84" s="6" t="str">
        <f t="shared" si="23"/>
        <v>https://wayback.archive-it.org/19945/*/https://ethz.ch/content/dam/ethz/associates/services/Anstellung-Arbeiten/Downloads/files/rechtliches/Brochure_Personnel_Law.pdf</v>
      </c>
      <c r="J84" s="6" t="str">
        <f t="shared" si="24"/>
        <v>https://wayback.archive-it.org/19945/timemap/cdx?url=https://ethz.ch/content/dam/ethz/associates/services/Anstellung-Arbeiten/Downloads/files/rechtliches/Brochure_Personnel_Law.pdf</v>
      </c>
      <c r="K84" s="22" t="str">
        <f t="shared" si="25"/>
        <v>https://wayback.archive-it.org/all/*/https://ethz.ch/staffnet/en/employment-and-work/employment/working-hours.html</v>
      </c>
      <c r="L84" s="22" t="str">
        <f t="shared" si="26"/>
        <v>https://wayback.archive-it.org/19945/*/https://ethz.ch/staffnet/en/employment-and-work/employment/working-hours.html</v>
      </c>
      <c r="M84" s="23" t="str">
        <f t="shared" si="27"/>
        <v>https://wayback.archive-it.org/19945/timemap/cdx?url=https://ethz.ch/staffnet/en/employment-and-work/employment/working-hours.html</v>
      </c>
    </row>
    <row r="85" ht="21.0" customHeight="1">
      <c r="A85" s="2" t="s">
        <v>255</v>
      </c>
      <c r="B85" s="3" t="s">
        <v>24</v>
      </c>
      <c r="C85" s="9" t="s">
        <v>238</v>
      </c>
      <c r="D85" s="9" t="s">
        <v>209</v>
      </c>
      <c r="E85" s="2" t="s">
        <v>256</v>
      </c>
      <c r="F85" s="3" t="s">
        <v>189</v>
      </c>
      <c r="G85" s="2" t="s">
        <v>240</v>
      </c>
      <c r="H85" s="5" t="str">
        <f t="shared" si="15"/>
        <v>https://wayback.archive-it.org/all/*/https://ethz.ch/content/dam/ethz/associates/services/Anstellung-Arbeiten/Downloads/files/rechtliches/Brochure_Personnel_Law.pdf</v>
      </c>
      <c r="I85" s="6" t="str">
        <f t="shared" si="23"/>
        <v>https://wayback.archive-it.org/19945/*/https://ethz.ch/content/dam/ethz/associates/services/Anstellung-Arbeiten/Downloads/files/rechtliches/Brochure_Personnel_Law.pdf</v>
      </c>
      <c r="J85" s="6" t="str">
        <f t="shared" si="24"/>
        <v>https://wayback.archive-it.org/19945/timemap/cdx?url=https://ethz.ch/content/dam/ethz/associates/services/Anstellung-Arbeiten/Downloads/files/rechtliches/Brochure_Personnel_Law.pdf</v>
      </c>
      <c r="K85" s="22" t="str">
        <f t="shared" si="25"/>
        <v>https://wayback.archive-it.org/all/*/https://ethz.ch/staffnet/en/employment-and-work/employment/working-hours.html</v>
      </c>
      <c r="L85" s="22" t="str">
        <f t="shared" si="26"/>
        <v>https://wayback.archive-it.org/19945/*/https://ethz.ch/staffnet/en/employment-and-work/employment/working-hours.html</v>
      </c>
      <c r="M85" s="23" t="str">
        <f t="shared" si="27"/>
        <v>https://wayback.archive-it.org/19945/timemap/cdx?url=https://ethz.ch/staffnet/en/employment-and-work/employment/working-hours.html</v>
      </c>
    </row>
    <row r="86" ht="21.0" customHeight="1">
      <c r="A86" s="2" t="s">
        <v>257</v>
      </c>
      <c r="B86" s="3" t="s">
        <v>24</v>
      </c>
      <c r="C86" s="9" t="s">
        <v>238</v>
      </c>
      <c r="D86" s="9" t="s">
        <v>209</v>
      </c>
      <c r="E86" s="2" t="s">
        <v>258</v>
      </c>
      <c r="F86" s="3" t="s">
        <v>189</v>
      </c>
      <c r="G86" s="2" t="s">
        <v>240</v>
      </c>
      <c r="H86" s="5" t="str">
        <f t="shared" si="15"/>
        <v>https://wayback.archive-it.org/all/*/https://ethz.ch/content/dam/ethz/associates/services/Anstellung-Arbeiten/Downloads/files/rechtliches/Brochure_Personnel_Law.pdf</v>
      </c>
      <c r="I86" s="6" t="str">
        <f t="shared" si="23"/>
        <v>https://wayback.archive-it.org/19945/*/https://ethz.ch/content/dam/ethz/associates/services/Anstellung-Arbeiten/Downloads/files/rechtliches/Brochure_Personnel_Law.pdf</v>
      </c>
      <c r="J86" s="6" t="str">
        <f t="shared" si="24"/>
        <v>https://wayback.archive-it.org/19945/timemap/cdx?url=https://ethz.ch/content/dam/ethz/associates/services/Anstellung-Arbeiten/Downloads/files/rechtliches/Brochure_Personnel_Law.pdf</v>
      </c>
      <c r="K86" s="22" t="str">
        <f t="shared" si="25"/>
        <v>https://wayback.archive-it.org/all/*/https://ethz.ch/staffnet/en/employment-and-work/employment/working-hours.html</v>
      </c>
      <c r="L86" s="22" t="str">
        <f t="shared" si="26"/>
        <v>https://wayback.archive-it.org/19945/*/https://ethz.ch/staffnet/en/employment-and-work/employment/working-hours.html</v>
      </c>
      <c r="M86" s="23" t="str">
        <f t="shared" si="27"/>
        <v>https://wayback.archive-it.org/19945/timemap/cdx?url=https://ethz.ch/staffnet/en/employment-and-work/employment/working-hours.html</v>
      </c>
    </row>
    <row r="87" ht="21.0" customHeight="1">
      <c r="A87" s="2" t="s">
        <v>259</v>
      </c>
      <c r="B87" s="3" t="s">
        <v>24</v>
      </c>
      <c r="C87" s="9" t="s">
        <v>238</v>
      </c>
      <c r="D87" s="9" t="s">
        <v>209</v>
      </c>
      <c r="E87" s="2" t="s">
        <v>260</v>
      </c>
      <c r="F87" s="3" t="s">
        <v>189</v>
      </c>
      <c r="G87" s="2" t="s">
        <v>240</v>
      </c>
      <c r="H87" s="5" t="str">
        <f t="shared" si="15"/>
        <v>https://wayback.archive-it.org/all/*/https://ethz.ch/content/dam/ethz/associates/services/Anstellung-Arbeiten/Downloads/files/rechtliches/Brochure_Personnel_Law.pdf</v>
      </c>
      <c r="I87" s="6" t="str">
        <f t="shared" si="23"/>
        <v>https://wayback.archive-it.org/19945/*/https://ethz.ch/content/dam/ethz/associates/services/Anstellung-Arbeiten/Downloads/files/rechtliches/Brochure_Personnel_Law.pdf</v>
      </c>
      <c r="J87" s="6" t="str">
        <f t="shared" si="24"/>
        <v>https://wayback.archive-it.org/19945/timemap/cdx?url=https://ethz.ch/content/dam/ethz/associates/services/Anstellung-Arbeiten/Downloads/files/rechtliches/Brochure_Personnel_Law.pdf</v>
      </c>
      <c r="K87" s="22" t="str">
        <f t="shared" si="25"/>
        <v>https://wayback.archive-it.org/all/*/https://ethz.ch/staffnet/en/employment-and-work/employment/working-hours.html</v>
      </c>
      <c r="L87" s="22" t="str">
        <f t="shared" si="26"/>
        <v>https://wayback.archive-it.org/19945/*/https://ethz.ch/staffnet/en/employment-and-work/employment/working-hours.html</v>
      </c>
      <c r="M87" s="23" t="str">
        <f t="shared" si="27"/>
        <v>https://wayback.archive-it.org/19945/timemap/cdx?url=https://ethz.ch/staffnet/en/employment-and-work/employment/working-hours.html</v>
      </c>
    </row>
    <row r="88" ht="21.0" customHeight="1">
      <c r="A88" s="2" t="s">
        <v>261</v>
      </c>
      <c r="B88" s="3" t="s">
        <v>24</v>
      </c>
      <c r="C88" s="9" t="s">
        <v>238</v>
      </c>
      <c r="D88" s="9" t="s">
        <v>209</v>
      </c>
      <c r="E88" s="2" t="s">
        <v>262</v>
      </c>
      <c r="F88" s="3" t="s">
        <v>189</v>
      </c>
      <c r="G88" s="2" t="s">
        <v>240</v>
      </c>
      <c r="H88" s="5" t="str">
        <f t="shared" si="15"/>
        <v>https://wayback.archive-it.org/all/*/https://ethz.ch/content/dam/ethz/associates/services/Anstellung-Arbeiten/Downloads/files/rechtliches/Brochure_Personnel_Law.pdf</v>
      </c>
      <c r="I88" s="6" t="str">
        <f t="shared" si="23"/>
        <v>https://wayback.archive-it.org/19945/*/https://ethz.ch/content/dam/ethz/associates/services/Anstellung-Arbeiten/Downloads/files/rechtliches/Brochure_Personnel_Law.pdf</v>
      </c>
      <c r="J88" s="6" t="str">
        <f t="shared" si="24"/>
        <v>https://wayback.archive-it.org/19945/timemap/cdx?url=https://ethz.ch/content/dam/ethz/associates/services/Anstellung-Arbeiten/Downloads/files/rechtliches/Brochure_Personnel_Law.pdf</v>
      </c>
      <c r="K88" s="22" t="str">
        <f t="shared" si="25"/>
        <v>https://wayback.archive-it.org/all/*/https://ethz.ch/staffnet/en/employment-and-work/employment/working-hours.html</v>
      </c>
      <c r="L88" s="22" t="str">
        <f t="shared" si="26"/>
        <v>https://wayback.archive-it.org/19945/*/https://ethz.ch/staffnet/en/employment-and-work/employment/working-hours.html</v>
      </c>
      <c r="M88" s="23" t="str">
        <f t="shared" si="27"/>
        <v>https://wayback.archive-it.org/19945/timemap/cdx?url=https://ethz.ch/staffnet/en/employment-and-work/employment/working-hours.html</v>
      </c>
    </row>
    <row r="89" ht="21.0" customHeight="1">
      <c r="A89" s="2" t="s">
        <v>263</v>
      </c>
      <c r="B89" s="3" t="s">
        <v>24</v>
      </c>
      <c r="C89" s="9" t="s">
        <v>238</v>
      </c>
      <c r="D89" s="9" t="s">
        <v>209</v>
      </c>
      <c r="E89" s="2" t="s">
        <v>264</v>
      </c>
      <c r="F89" s="3" t="s">
        <v>189</v>
      </c>
      <c r="G89" s="2" t="s">
        <v>240</v>
      </c>
      <c r="H89" s="5" t="str">
        <f t="shared" si="15"/>
        <v>https://wayback.archive-it.org/all/*/https://ethz.ch/content/dam/ethz/associates/services/Anstellung-Arbeiten/Downloads/files/rechtliches/Brochure_Personnel_Law.pdf</v>
      </c>
      <c r="I89" s="6" t="str">
        <f t="shared" si="23"/>
        <v>https://wayback.archive-it.org/19945/*/https://ethz.ch/content/dam/ethz/associates/services/Anstellung-Arbeiten/Downloads/files/rechtliches/Brochure_Personnel_Law.pdf</v>
      </c>
      <c r="J89" s="6" t="str">
        <f t="shared" si="24"/>
        <v>https://wayback.archive-it.org/19945/timemap/cdx?url=https://ethz.ch/content/dam/ethz/associates/services/Anstellung-Arbeiten/Downloads/files/rechtliches/Brochure_Personnel_Law.pdf</v>
      </c>
      <c r="K89" s="22" t="str">
        <f t="shared" si="25"/>
        <v>https://wayback.archive-it.org/all/*/https://ethz.ch/staffnet/en/employment-and-work/employment/working-hours.html</v>
      </c>
      <c r="L89" s="22" t="str">
        <f t="shared" si="26"/>
        <v>https://wayback.archive-it.org/19945/*/https://ethz.ch/staffnet/en/employment-and-work/employment/working-hours.html</v>
      </c>
      <c r="M89" s="23" t="str">
        <f t="shared" si="27"/>
        <v>https://wayback.archive-it.org/19945/timemap/cdx?url=https://ethz.ch/staffnet/en/employment-and-work/employment/working-hours.html</v>
      </c>
    </row>
    <row r="90" ht="21.0" customHeight="1">
      <c r="A90" s="2" t="s">
        <v>265</v>
      </c>
      <c r="B90" s="3" t="s">
        <v>24</v>
      </c>
      <c r="C90" s="9" t="s">
        <v>238</v>
      </c>
      <c r="D90" s="9" t="s">
        <v>209</v>
      </c>
      <c r="E90" s="2" t="s">
        <v>266</v>
      </c>
      <c r="F90" s="3" t="s">
        <v>189</v>
      </c>
      <c r="G90" s="2" t="s">
        <v>240</v>
      </c>
      <c r="H90" s="5" t="str">
        <f t="shared" si="15"/>
        <v>https://wayback.archive-it.org/all/*/https://ethz.ch/content/dam/ethz/associates/services/Anstellung-Arbeiten/Downloads/files/rechtliches/Brochure_Personnel_Law.pdf</v>
      </c>
      <c r="I90" s="6" t="str">
        <f t="shared" si="23"/>
        <v>https://wayback.archive-it.org/19945/*/https://ethz.ch/content/dam/ethz/associates/services/Anstellung-Arbeiten/Downloads/files/rechtliches/Brochure_Personnel_Law.pdf</v>
      </c>
      <c r="J90" s="6" t="str">
        <f t="shared" si="24"/>
        <v>https://wayback.archive-it.org/19945/timemap/cdx?url=https://ethz.ch/content/dam/ethz/associates/services/Anstellung-Arbeiten/Downloads/files/rechtliches/Brochure_Personnel_Law.pdf</v>
      </c>
      <c r="K90" s="22" t="str">
        <f t="shared" si="25"/>
        <v>https://wayback.archive-it.org/all/*/https://ethz.ch/staffnet/en/employment-and-work/employment/working-hours.html</v>
      </c>
      <c r="L90" s="22" t="str">
        <f t="shared" si="26"/>
        <v>https://wayback.archive-it.org/19945/*/https://ethz.ch/staffnet/en/employment-and-work/employment/working-hours.html</v>
      </c>
      <c r="M90" s="23" t="str">
        <f t="shared" si="27"/>
        <v>https://wayback.archive-it.org/19945/timemap/cdx?url=https://ethz.ch/staffnet/en/employment-and-work/employment/working-hours.html</v>
      </c>
    </row>
    <row r="91" ht="21.0" customHeight="1">
      <c r="A91" s="2" t="s">
        <v>267</v>
      </c>
      <c r="B91" s="3" t="s">
        <v>24</v>
      </c>
      <c r="C91" s="9" t="s">
        <v>238</v>
      </c>
      <c r="D91" s="9" t="s">
        <v>209</v>
      </c>
      <c r="E91" s="2" t="s">
        <v>268</v>
      </c>
      <c r="F91" s="3" t="s">
        <v>189</v>
      </c>
      <c r="G91" s="2" t="s">
        <v>240</v>
      </c>
      <c r="H91" s="5" t="str">
        <f t="shared" si="15"/>
        <v>https://wayback.archive-it.org/all/*/https://ethz.ch/content/dam/ethz/associates/services/Anstellung-Arbeiten/Downloads/files/rechtliches/Brochure_Personnel_Law.pdf</v>
      </c>
      <c r="I91" s="6" t="str">
        <f t="shared" si="23"/>
        <v>https://wayback.archive-it.org/19945/*/https://ethz.ch/content/dam/ethz/associates/services/Anstellung-Arbeiten/Downloads/files/rechtliches/Brochure_Personnel_Law.pdf</v>
      </c>
      <c r="J91" s="6" t="str">
        <f t="shared" si="24"/>
        <v>https://wayback.archive-it.org/19945/timemap/cdx?url=https://ethz.ch/content/dam/ethz/associates/services/Anstellung-Arbeiten/Downloads/files/rechtliches/Brochure_Personnel_Law.pdf</v>
      </c>
      <c r="K91" s="22" t="str">
        <f t="shared" si="25"/>
        <v>https://wayback.archive-it.org/all/*/https://ethz.ch/staffnet/en/employment-and-work/employment/working-hours.html</v>
      </c>
      <c r="L91" s="22" t="str">
        <f t="shared" si="26"/>
        <v>https://wayback.archive-it.org/19945/*/https://ethz.ch/staffnet/en/employment-and-work/employment/working-hours.html</v>
      </c>
      <c r="M91" s="23" t="str">
        <f t="shared" si="27"/>
        <v>https://wayback.archive-it.org/19945/timemap/cdx?url=https://ethz.ch/staffnet/en/employment-and-work/employment/working-hours.html</v>
      </c>
    </row>
    <row r="92" ht="21.0" customHeight="1">
      <c r="A92" s="2" t="s">
        <v>269</v>
      </c>
      <c r="B92" s="3" t="s">
        <v>24</v>
      </c>
      <c r="C92" s="9" t="s">
        <v>238</v>
      </c>
      <c r="D92" s="9" t="s">
        <v>209</v>
      </c>
      <c r="E92" s="2" t="s">
        <v>270</v>
      </c>
      <c r="F92" s="3" t="s">
        <v>189</v>
      </c>
      <c r="G92" s="2" t="s">
        <v>240</v>
      </c>
      <c r="H92" s="5" t="str">
        <f t="shared" si="15"/>
        <v>https://wayback.archive-it.org/all/*/https://ethz.ch/content/dam/ethz/associates/services/Anstellung-Arbeiten/Downloads/files/rechtliches/Brochure_Personnel_Law.pdf</v>
      </c>
      <c r="I92" s="6" t="str">
        <f t="shared" si="23"/>
        <v>https://wayback.archive-it.org/19945/*/https://ethz.ch/content/dam/ethz/associates/services/Anstellung-Arbeiten/Downloads/files/rechtliches/Brochure_Personnel_Law.pdf</v>
      </c>
      <c r="J92" s="6" t="str">
        <f t="shared" si="24"/>
        <v>https://wayback.archive-it.org/19945/timemap/cdx?url=https://ethz.ch/content/dam/ethz/associates/services/Anstellung-Arbeiten/Downloads/files/rechtliches/Brochure_Personnel_Law.pdf</v>
      </c>
      <c r="K92" s="22" t="str">
        <f t="shared" si="25"/>
        <v>https://wayback.archive-it.org/all/*/https://ethz.ch/staffnet/en/employment-and-work/employment/working-hours.html</v>
      </c>
      <c r="L92" s="22" t="str">
        <f t="shared" si="26"/>
        <v>https://wayback.archive-it.org/19945/*/https://ethz.ch/staffnet/en/employment-and-work/employment/working-hours.html</v>
      </c>
      <c r="M92" s="23" t="str">
        <f t="shared" si="27"/>
        <v>https://wayback.archive-it.org/19945/timemap/cdx?url=https://ethz.ch/staffnet/en/employment-and-work/employment/working-hours.html</v>
      </c>
    </row>
    <row r="93" ht="21.0" customHeight="1">
      <c r="A93" s="2" t="s">
        <v>271</v>
      </c>
      <c r="B93" s="3" t="s">
        <v>24</v>
      </c>
      <c r="C93" s="9" t="s">
        <v>238</v>
      </c>
      <c r="D93" s="9" t="s">
        <v>209</v>
      </c>
      <c r="E93" s="2" t="s">
        <v>272</v>
      </c>
      <c r="F93" s="3" t="s">
        <v>189</v>
      </c>
      <c r="G93" s="2" t="s">
        <v>240</v>
      </c>
      <c r="H93" s="5" t="str">
        <f t="shared" si="15"/>
        <v>https://wayback.archive-it.org/all/*/https://ethz.ch/content/dam/ethz/associates/services/Anstellung-Arbeiten/Downloads/files/rechtliches/Brochure_Personnel_Law.pdf</v>
      </c>
      <c r="I93" s="6" t="str">
        <f t="shared" si="23"/>
        <v>https://wayback.archive-it.org/19945/*/https://ethz.ch/content/dam/ethz/associates/services/Anstellung-Arbeiten/Downloads/files/rechtliches/Brochure_Personnel_Law.pdf</v>
      </c>
      <c r="J93" s="6" t="str">
        <f t="shared" si="24"/>
        <v>https://wayback.archive-it.org/19945/timemap/cdx?url=https://ethz.ch/content/dam/ethz/associates/services/Anstellung-Arbeiten/Downloads/files/rechtliches/Brochure_Personnel_Law.pdf</v>
      </c>
      <c r="K93" s="22" t="str">
        <f t="shared" si="25"/>
        <v>https://wayback.archive-it.org/all/*/https://ethz.ch/staffnet/en/employment-and-work/employment/working-hours.html</v>
      </c>
      <c r="L93" s="22" t="str">
        <f t="shared" si="26"/>
        <v>https://wayback.archive-it.org/19945/*/https://ethz.ch/staffnet/en/employment-and-work/employment/working-hours.html</v>
      </c>
      <c r="M93" s="23" t="str">
        <f t="shared" si="27"/>
        <v>https://wayback.archive-it.org/19945/timemap/cdx?url=https://ethz.ch/staffnet/en/employment-and-work/employment/working-hours.html</v>
      </c>
    </row>
    <row r="94" ht="21.0" customHeight="1">
      <c r="A94" s="2" t="s">
        <v>273</v>
      </c>
      <c r="B94" s="3" t="s">
        <v>24</v>
      </c>
      <c r="C94" s="9" t="s">
        <v>238</v>
      </c>
      <c r="D94" s="9" t="s">
        <v>209</v>
      </c>
      <c r="E94" s="2" t="s">
        <v>274</v>
      </c>
      <c r="F94" s="3" t="s">
        <v>189</v>
      </c>
      <c r="G94" s="2" t="s">
        <v>240</v>
      </c>
      <c r="H94" s="5" t="str">
        <f t="shared" si="15"/>
        <v>https://wayback.archive-it.org/all/*/https://ethz.ch/content/dam/ethz/associates/services/Anstellung-Arbeiten/Downloads/files/rechtliches/Brochure_Personnel_Law.pdf</v>
      </c>
      <c r="I94" s="6" t="str">
        <f t="shared" si="23"/>
        <v>https://wayback.archive-it.org/19945/*/https://ethz.ch/content/dam/ethz/associates/services/Anstellung-Arbeiten/Downloads/files/rechtliches/Brochure_Personnel_Law.pdf</v>
      </c>
      <c r="J94" s="6" t="str">
        <f t="shared" si="24"/>
        <v>https://wayback.archive-it.org/19945/timemap/cdx?url=https://ethz.ch/content/dam/ethz/associates/services/Anstellung-Arbeiten/Downloads/files/rechtliches/Brochure_Personnel_Law.pdf</v>
      </c>
      <c r="K94" s="22" t="str">
        <f t="shared" si="25"/>
        <v>https://wayback.archive-it.org/all/*/https://ethz.ch/staffnet/en/employment-and-work/employment/working-hours.html</v>
      </c>
      <c r="L94" s="22" t="str">
        <f t="shared" si="26"/>
        <v>https://wayback.archive-it.org/19945/*/https://ethz.ch/staffnet/en/employment-and-work/employment/working-hours.html</v>
      </c>
      <c r="M94" s="23" t="str">
        <f t="shared" si="27"/>
        <v>https://wayback.archive-it.org/19945/timemap/cdx?url=https://ethz.ch/staffnet/en/employment-and-work/employment/working-hours.html</v>
      </c>
    </row>
    <row r="95" ht="21.0" customHeight="1">
      <c r="A95" s="2" t="s">
        <v>275</v>
      </c>
      <c r="B95" s="3" t="s">
        <v>24</v>
      </c>
      <c r="C95" s="9" t="s">
        <v>238</v>
      </c>
      <c r="D95" s="7" t="s">
        <v>209</v>
      </c>
      <c r="E95" s="2" t="s">
        <v>276</v>
      </c>
      <c r="F95" s="3" t="s">
        <v>189</v>
      </c>
      <c r="G95" s="2" t="s">
        <v>240</v>
      </c>
      <c r="H95" s="5" t="str">
        <f t="shared" si="15"/>
        <v>https://wayback.archive-it.org/all/*/https://ethz.ch/content/dam/ethz/associates/services/Anstellung-Arbeiten/Downloads/files/rechtliches/Brochure_Personnel_Law.pdf</v>
      </c>
      <c r="I95" s="6" t="str">
        <f t="shared" si="23"/>
        <v>https://wayback.archive-it.org/19945/*/https://ethz.ch/content/dam/ethz/associates/services/Anstellung-Arbeiten/Downloads/files/rechtliches/Brochure_Personnel_Law.pdf</v>
      </c>
      <c r="J95" s="6" t="str">
        <f t="shared" si="24"/>
        <v>https://wayback.archive-it.org/19945/timemap/cdx?url=https://ethz.ch/content/dam/ethz/associates/services/Anstellung-Arbeiten/Downloads/files/rechtliches/Brochure_Personnel_Law.pdf</v>
      </c>
      <c r="K95" s="22" t="str">
        <f t="shared" si="25"/>
        <v>https://wayback.archive-it.org/all/*/https://ethz.ch/staffnet/en/employment-and-work/employment/working-hours.html</v>
      </c>
      <c r="L95" s="22" t="str">
        <f t="shared" si="26"/>
        <v>https://wayback.archive-it.org/19945/*/https://ethz.ch/staffnet/en/employment-and-work/employment/working-hours.html</v>
      </c>
      <c r="M95" s="23" t="str">
        <f t="shared" si="27"/>
        <v>https://wayback.archive-it.org/19945/timemap/cdx?url=https://ethz.ch/staffnet/en/employment-and-work/employment/working-hours.html</v>
      </c>
    </row>
    <row r="96" ht="21.0" customHeight="1">
      <c r="A96" s="2" t="s">
        <v>277</v>
      </c>
      <c r="B96" s="3" t="s">
        <v>24</v>
      </c>
      <c r="C96" s="9" t="s">
        <v>278</v>
      </c>
      <c r="D96" s="2"/>
      <c r="E96" s="2" t="s">
        <v>279</v>
      </c>
      <c r="F96" s="3" t="s">
        <v>189</v>
      </c>
      <c r="H96" s="5" t="str">
        <f t="shared" si="15"/>
        <v>https://wayback.archive-it.org/all/*/https://ethz.ch/en/the-eth-zurich/working-teaching-and-research/working-conditions/insurance-and-pension.html</v>
      </c>
      <c r="I96" s="6" t="str">
        <f t="shared" si="23"/>
        <v>https://wayback.archive-it.org/19945/*/https://ethz.ch/en/the-eth-zurich/working-teaching-and-research/working-conditions/insurance-and-pension.html</v>
      </c>
      <c r="J96" s="6" t="str">
        <f t="shared" si="24"/>
        <v>https://wayback.archive-it.org/19945/timemap/cdx?url=https://ethz.ch/en/the-eth-zurich/working-teaching-and-research/working-conditions/insurance-and-pension.html</v>
      </c>
      <c r="K96" s="20"/>
      <c r="L96" s="20"/>
      <c r="M96" s="20"/>
    </row>
    <row r="97" ht="21.0" customHeight="1">
      <c r="A97" s="2" t="s">
        <v>280</v>
      </c>
      <c r="B97" s="3" t="s">
        <v>24</v>
      </c>
      <c r="C97" s="9" t="s">
        <v>278</v>
      </c>
      <c r="D97" s="2"/>
      <c r="E97" s="6" t="s">
        <v>281</v>
      </c>
      <c r="F97" s="3" t="s">
        <v>181</v>
      </c>
      <c r="H97" s="5" t="str">
        <f t="shared" si="15"/>
        <v>https://wayback.archive-it.org/all/*/https://ethz.ch/en/the-eth-zurich/working-teaching-and-research/working-conditions/insurance-and-pension.html</v>
      </c>
      <c r="I97" s="6" t="str">
        <f t="shared" si="23"/>
        <v>https://wayback.archive-it.org/19945/*/https://ethz.ch/en/the-eth-zurich/working-teaching-and-research/working-conditions/insurance-and-pension.html</v>
      </c>
      <c r="J97" s="6" t="str">
        <f t="shared" si="24"/>
        <v>https://wayback.archive-it.org/19945/timemap/cdx?url=https://ethz.ch/en/the-eth-zurich/working-teaching-and-research/working-conditions/insurance-and-pension.html</v>
      </c>
      <c r="K97" s="20"/>
      <c r="L97" s="20"/>
      <c r="M97" s="20"/>
    </row>
    <row r="98" ht="21.0" customHeight="1">
      <c r="A98" s="2" t="s">
        <v>282</v>
      </c>
      <c r="B98" s="3" t="s">
        <v>24</v>
      </c>
      <c r="C98" s="9" t="s">
        <v>283</v>
      </c>
      <c r="D98" s="2"/>
      <c r="E98" s="2" t="s">
        <v>284</v>
      </c>
      <c r="F98" s="3" t="s">
        <v>189</v>
      </c>
      <c r="G98" s="2" t="s">
        <v>285</v>
      </c>
      <c r="H98" s="5" t="str">
        <f t="shared" si="15"/>
        <v>https://wayback.archive-it.org/all/*/https://ethz.ch/en/the-eth-zurich/working-teaching-and-research/welcome-center/employment-contract-and-salary/salary.html</v>
      </c>
      <c r="I98" s="6" t="str">
        <f t="shared" si="23"/>
        <v>https://wayback.archive-it.org/19945/*/https://ethz.ch/en/the-eth-zurich/working-teaching-and-research/welcome-center/employment-contract-and-salary/salary.html</v>
      </c>
      <c r="J98" s="6" t="str">
        <f t="shared" si="24"/>
        <v>https://wayback.archive-it.org/19945/timemap/cdx?url=https://ethz.ch/en/the-eth-zurich/working-teaching-and-research/welcome-center/employment-contract-and-salary/salary.html</v>
      </c>
      <c r="K98" s="20"/>
      <c r="L98" s="20"/>
      <c r="M98" s="20"/>
    </row>
    <row r="99" ht="21.0" customHeight="1">
      <c r="A99" s="2" t="s">
        <v>286</v>
      </c>
      <c r="B99" s="3" t="s">
        <v>24</v>
      </c>
      <c r="C99" s="9" t="s">
        <v>287</v>
      </c>
      <c r="D99" s="2"/>
      <c r="E99" s="2" t="s">
        <v>288</v>
      </c>
      <c r="F99" s="3" t="s">
        <v>189</v>
      </c>
      <c r="H99" s="5" t="str">
        <f t="shared" si="15"/>
        <v>https://wayback.archive-it.org/all/*/https://ethz.ch/staffnet/en/news-and-events/internal-news/archive/2024/08/eth-zurichs-salary-system-how-does-it-work.html</v>
      </c>
      <c r="I99" s="6" t="str">
        <f t="shared" si="23"/>
        <v>https://wayback.archive-it.org/19945/*/https://ethz.ch/staffnet/en/news-and-events/internal-news/archive/2024/08/eth-zurichs-salary-system-how-does-it-work.html</v>
      </c>
      <c r="J99" s="6" t="str">
        <f t="shared" si="24"/>
        <v>https://wayback.archive-it.org/19945/timemap/cdx?url=https://ethz.ch/staffnet/en/news-and-events/internal-news/archive/2024/08/eth-zurichs-salary-system-how-does-it-work.html</v>
      </c>
      <c r="K99" s="20"/>
      <c r="L99" s="20"/>
      <c r="M99" s="20"/>
    </row>
    <row r="100" ht="21.0" customHeight="1">
      <c r="A100" s="2" t="s">
        <v>289</v>
      </c>
      <c r="B100" s="3" t="s">
        <v>24</v>
      </c>
      <c r="C100" s="17" t="s">
        <v>290</v>
      </c>
      <c r="D100" s="2"/>
      <c r="E100" s="2" t="s">
        <v>291</v>
      </c>
      <c r="F100" s="3" t="s">
        <v>189</v>
      </c>
      <c r="H100" s="17" t="s">
        <v>292</v>
      </c>
      <c r="I100" s="18" t="s">
        <v>293</v>
      </c>
      <c r="J100" s="18" t="s">
        <v>294</v>
      </c>
      <c r="K100" s="20"/>
      <c r="L100" s="20"/>
      <c r="M100" s="20"/>
    </row>
    <row r="101" ht="21.0" customHeight="1">
      <c r="A101" s="2" t="s">
        <v>295</v>
      </c>
      <c r="B101" s="3" t="s">
        <v>24</v>
      </c>
      <c r="C101" s="9" t="s">
        <v>296</v>
      </c>
      <c r="D101" s="2"/>
      <c r="E101" s="6" t="s">
        <v>297</v>
      </c>
      <c r="F101" s="3" t="s">
        <v>181</v>
      </c>
      <c r="G101" s="2" t="s">
        <v>298</v>
      </c>
      <c r="H101" s="5" t="str">
        <f t="shared" ref="H101:H108" si="28">"https://wayback.archive-it.org/all/*/"&amp;C101</f>
        <v>https://wayback.archive-it.org/all/*/https://ethz.ch/en/the-eth-zurich/working-teaching-and-research/faculty/faculty-affairs/ausgeschriebene-professuren.html</v>
      </c>
      <c r="I101" s="6" t="str">
        <f t="shared" ref="I101:I108" si="29">"https://wayback.archive-it.org/19945/*/"&amp;C101</f>
        <v>https://wayback.archive-it.org/19945/*/https://ethz.ch/en/the-eth-zurich/working-teaching-and-research/faculty/faculty-affairs/ausgeschriebene-professuren.html</v>
      </c>
      <c r="J101" s="6" t="str">
        <f t="shared" ref="J101:J108" si="30">"https://wayback.archive-it.org/19945/timemap/cdx?url="&amp;C101</f>
        <v>https://wayback.archive-it.org/19945/timemap/cdx?url=https://ethz.ch/en/the-eth-zurich/working-teaching-and-research/faculty/faculty-affairs/ausgeschriebene-professuren.html</v>
      </c>
      <c r="K101" s="20"/>
      <c r="L101" s="20"/>
      <c r="M101" s="20"/>
    </row>
    <row r="102" ht="21.0" customHeight="1">
      <c r="A102" s="2" t="s">
        <v>299</v>
      </c>
      <c r="B102" s="3" t="s">
        <v>24</v>
      </c>
      <c r="C102" s="9" t="s">
        <v>278</v>
      </c>
      <c r="D102" s="2"/>
      <c r="E102" s="2" t="s">
        <v>300</v>
      </c>
      <c r="F102" s="3" t="s">
        <v>189</v>
      </c>
      <c r="G102" s="20"/>
      <c r="H102" s="5" t="str">
        <f t="shared" si="28"/>
        <v>https://wayback.archive-it.org/all/*/https://ethz.ch/en/the-eth-zurich/working-teaching-and-research/working-conditions/insurance-and-pension.html</v>
      </c>
      <c r="I102" s="6" t="str">
        <f t="shared" si="29"/>
        <v>https://wayback.archive-it.org/19945/*/https://ethz.ch/en/the-eth-zurich/working-teaching-and-research/working-conditions/insurance-and-pension.html</v>
      </c>
      <c r="J102" s="6" t="str">
        <f t="shared" si="30"/>
        <v>https://wayback.archive-it.org/19945/timemap/cdx?url=https://ethz.ch/en/the-eth-zurich/working-teaching-and-research/working-conditions/insurance-and-pension.html</v>
      </c>
      <c r="K102" s="20"/>
      <c r="L102" s="20"/>
      <c r="M102" s="20"/>
    </row>
    <row r="103" ht="21.0" customHeight="1">
      <c r="A103" s="2" t="s">
        <v>301</v>
      </c>
      <c r="B103" s="3" t="s">
        <v>24</v>
      </c>
      <c r="C103" s="9" t="s">
        <v>278</v>
      </c>
      <c r="E103" s="2" t="s">
        <v>302</v>
      </c>
      <c r="F103" s="3" t="s">
        <v>189</v>
      </c>
      <c r="G103" s="20"/>
      <c r="H103" s="5" t="str">
        <f t="shared" si="28"/>
        <v>https://wayback.archive-it.org/all/*/https://ethz.ch/en/the-eth-zurich/working-teaching-and-research/working-conditions/insurance-and-pension.html</v>
      </c>
      <c r="I103" s="6" t="str">
        <f t="shared" si="29"/>
        <v>https://wayback.archive-it.org/19945/*/https://ethz.ch/en/the-eth-zurich/working-teaching-and-research/working-conditions/insurance-and-pension.html</v>
      </c>
      <c r="J103" s="6" t="str">
        <f t="shared" si="30"/>
        <v>https://wayback.archive-it.org/19945/timemap/cdx?url=https://ethz.ch/en/the-eth-zurich/working-teaching-and-research/working-conditions/insurance-and-pension.html</v>
      </c>
      <c r="K103" s="20"/>
      <c r="L103" s="20"/>
      <c r="M103" s="20"/>
    </row>
    <row r="104" ht="21.0" customHeight="1">
      <c r="A104" s="2" t="s">
        <v>303</v>
      </c>
      <c r="B104" s="3" t="s">
        <v>24</v>
      </c>
      <c r="C104" s="9" t="s">
        <v>278</v>
      </c>
      <c r="D104" s="2"/>
      <c r="E104" s="2" t="s">
        <v>304</v>
      </c>
      <c r="F104" s="3" t="s">
        <v>189</v>
      </c>
      <c r="G104" s="20"/>
      <c r="H104" s="5" t="str">
        <f t="shared" si="28"/>
        <v>https://wayback.archive-it.org/all/*/https://ethz.ch/en/the-eth-zurich/working-teaching-and-research/working-conditions/insurance-and-pension.html</v>
      </c>
      <c r="I104" s="6" t="str">
        <f t="shared" si="29"/>
        <v>https://wayback.archive-it.org/19945/*/https://ethz.ch/en/the-eth-zurich/working-teaching-and-research/working-conditions/insurance-and-pension.html</v>
      </c>
      <c r="J104" s="6" t="str">
        <f t="shared" si="30"/>
        <v>https://wayback.archive-it.org/19945/timemap/cdx?url=https://ethz.ch/en/the-eth-zurich/working-teaching-and-research/working-conditions/insurance-and-pension.html</v>
      </c>
      <c r="K104" s="20"/>
      <c r="L104" s="20"/>
      <c r="M104" s="20"/>
    </row>
    <row r="105" ht="21.0" customHeight="1">
      <c r="A105" s="2" t="s">
        <v>305</v>
      </c>
      <c r="B105" s="3" t="s">
        <v>24</v>
      </c>
      <c r="C105" s="9" t="s">
        <v>306</v>
      </c>
      <c r="D105" s="9" t="s">
        <v>278</v>
      </c>
      <c r="E105" s="2" t="s">
        <v>307</v>
      </c>
      <c r="F105" s="3" t="s">
        <v>189</v>
      </c>
      <c r="G105" s="20"/>
      <c r="H105" s="5" t="str">
        <f t="shared" si="28"/>
        <v>https://wayback.archive-it.org/all/*/https://ethz.ch/en/the-eth-zurich/working-teaching-and-research/welcome-center/Insurance-and-pension/old-age-pensions.html</v>
      </c>
      <c r="I105" s="6" t="str">
        <f t="shared" si="29"/>
        <v>https://wayback.archive-it.org/19945/*/https://ethz.ch/en/the-eth-zurich/working-teaching-and-research/welcome-center/Insurance-and-pension/old-age-pensions.html</v>
      </c>
      <c r="J105" s="6" t="str">
        <f t="shared" si="30"/>
        <v>https://wayback.archive-it.org/19945/timemap/cdx?url=https://ethz.ch/en/the-eth-zurich/working-teaching-and-research/welcome-center/Insurance-and-pension/old-age-pensions.html</v>
      </c>
      <c r="K105" s="21" t="str">
        <f>"https://wayback.archive-it.org/all/*/"&amp;D105</f>
        <v>https://wayback.archive-it.org/all/*/https://ethz.ch/en/the-eth-zurich/working-teaching-and-research/working-conditions/insurance-and-pension.html</v>
      </c>
      <c r="L105" s="21" t="str">
        <f>"https://wayback.archive-it.org/19945/*/"&amp;D105</f>
        <v>https://wayback.archive-it.org/19945/*/https://ethz.ch/en/the-eth-zurich/working-teaching-and-research/working-conditions/insurance-and-pension.html</v>
      </c>
      <c r="M105" s="21" t="str">
        <f>"https://wayback.archive-it.org/19945/timemap/cdx?url="&amp;D105</f>
        <v>https://wayback.archive-it.org/19945/timemap/cdx?url=https://ethz.ch/en/the-eth-zurich/working-teaching-and-research/working-conditions/insurance-and-pension.html</v>
      </c>
    </row>
    <row r="106" ht="21.0" customHeight="1">
      <c r="A106" s="2" t="s">
        <v>308</v>
      </c>
      <c r="B106" s="3" t="s">
        <v>24</v>
      </c>
      <c r="C106" s="9" t="s">
        <v>278</v>
      </c>
      <c r="D106" s="2"/>
      <c r="E106" s="2" t="s">
        <v>309</v>
      </c>
      <c r="F106" s="3" t="s">
        <v>189</v>
      </c>
      <c r="G106" s="20"/>
      <c r="H106" s="5" t="str">
        <f t="shared" si="28"/>
        <v>https://wayback.archive-it.org/all/*/https://ethz.ch/en/the-eth-zurich/working-teaching-and-research/working-conditions/insurance-and-pension.html</v>
      </c>
      <c r="I106" s="6" t="str">
        <f t="shared" si="29"/>
        <v>https://wayback.archive-it.org/19945/*/https://ethz.ch/en/the-eth-zurich/working-teaching-and-research/working-conditions/insurance-and-pension.html</v>
      </c>
      <c r="J106" s="6" t="str">
        <f t="shared" si="30"/>
        <v>https://wayback.archive-it.org/19945/timemap/cdx?url=https://ethz.ch/en/the-eth-zurich/working-teaching-and-research/working-conditions/insurance-and-pension.html</v>
      </c>
      <c r="K106" s="20"/>
      <c r="L106" s="20"/>
      <c r="M106" s="20"/>
    </row>
    <row r="107" ht="21.0" customHeight="1">
      <c r="A107" s="2" t="s">
        <v>310</v>
      </c>
      <c r="B107" s="3" t="s">
        <v>24</v>
      </c>
      <c r="C107" s="9" t="s">
        <v>278</v>
      </c>
      <c r="D107" s="2"/>
      <c r="E107" s="2" t="s">
        <v>311</v>
      </c>
      <c r="F107" s="3" t="s">
        <v>189</v>
      </c>
      <c r="G107" s="20"/>
      <c r="H107" s="5" t="str">
        <f t="shared" si="28"/>
        <v>https://wayback.archive-it.org/all/*/https://ethz.ch/en/the-eth-zurich/working-teaching-and-research/working-conditions/insurance-and-pension.html</v>
      </c>
      <c r="I107" s="6" t="str">
        <f t="shared" si="29"/>
        <v>https://wayback.archive-it.org/19945/*/https://ethz.ch/en/the-eth-zurich/working-teaching-and-research/working-conditions/insurance-and-pension.html</v>
      </c>
      <c r="J107" s="6" t="str">
        <f t="shared" si="30"/>
        <v>https://wayback.archive-it.org/19945/timemap/cdx?url=https://ethz.ch/en/the-eth-zurich/working-teaching-and-research/working-conditions/insurance-and-pension.html</v>
      </c>
      <c r="K107" s="20"/>
      <c r="L107" s="20"/>
      <c r="M107" s="20"/>
    </row>
    <row r="108" ht="21.0" customHeight="1">
      <c r="A108" s="2" t="s">
        <v>312</v>
      </c>
      <c r="B108" s="3" t="s">
        <v>24</v>
      </c>
      <c r="C108" s="9" t="s">
        <v>278</v>
      </c>
      <c r="D108" s="2"/>
      <c r="E108" s="2" t="s">
        <v>313</v>
      </c>
      <c r="F108" s="3" t="s">
        <v>189</v>
      </c>
      <c r="G108" s="20"/>
      <c r="H108" s="5" t="str">
        <f t="shared" si="28"/>
        <v>https://wayback.archive-it.org/all/*/https://ethz.ch/en/the-eth-zurich/working-teaching-and-research/working-conditions/insurance-and-pension.html</v>
      </c>
      <c r="I108" s="6" t="str">
        <f t="shared" si="29"/>
        <v>https://wayback.archive-it.org/19945/*/https://ethz.ch/en/the-eth-zurich/working-teaching-and-research/working-conditions/insurance-and-pension.html</v>
      </c>
      <c r="J108" s="6" t="str">
        <f t="shared" si="30"/>
        <v>https://wayback.archive-it.org/19945/timemap/cdx?url=https://ethz.ch/en/the-eth-zurich/working-teaching-and-research/working-conditions/insurance-and-pension.html</v>
      </c>
      <c r="K108" s="20"/>
      <c r="L108" s="20"/>
      <c r="M108" s="20"/>
    </row>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sheetData>
  <dataValidations>
    <dataValidation type="list" allowBlank="1" showDropDown="1" showErrorMessage="1" sqref="B2:B108">
      <formula1>"de,en"</formula1>
    </dataValidation>
    <dataValidation type="list" allowBlank="1" sqref="F2:F108">
      <formula1>"GR,mistral,mistral, GR,RS,OpenAI"</formula1>
    </dataValidation>
  </dataValidations>
  <hyperlinks>
    <hyperlink r:id="rId2" ref="C2"/>
    <hyperlink r:id="rId3" ref="D2"/>
    <hyperlink r:id="rId4" ref="C3"/>
    <hyperlink r:id="rId5" ref="D3"/>
    <hyperlink r:id="rId6" ref="C4"/>
    <hyperlink r:id="rId7" ref="D4"/>
    <hyperlink r:id="rId8" ref="C5"/>
    <hyperlink r:id="rId9" ref="H5"/>
    <hyperlink r:id="rId10" ref="I5"/>
    <hyperlink r:id="rId11" ref="J5"/>
    <hyperlink r:id="rId12" ref="C6"/>
    <hyperlink r:id="rId13" ref="H6"/>
    <hyperlink r:id="rId14" ref="I6"/>
    <hyperlink r:id="rId15" ref="J6"/>
    <hyperlink r:id="rId16" ref="C7"/>
    <hyperlink r:id="rId17" ref="H7"/>
    <hyperlink r:id="rId18" ref="I7"/>
    <hyperlink r:id="rId19" ref="J7"/>
    <hyperlink r:id="rId20" ref="C8"/>
    <hyperlink r:id="rId21" ref="H8"/>
    <hyperlink r:id="rId22" ref="I8"/>
    <hyperlink r:id="rId23" ref="J8"/>
    <hyperlink r:id="rId24" ref="C9"/>
    <hyperlink r:id="rId25" ref="H9"/>
    <hyperlink r:id="rId26" ref="I9"/>
    <hyperlink r:id="rId27" ref="J9"/>
    <hyperlink r:id="rId28" location="/" ref="C10"/>
    <hyperlink r:id="rId29" ref="C11"/>
    <hyperlink r:id="rId30" ref="C12"/>
    <hyperlink r:id="rId31" ref="C13"/>
    <hyperlink r:id="rId32" ref="D13"/>
    <hyperlink r:id="rId33" ref="C14"/>
    <hyperlink r:id="rId34" ref="C15"/>
    <hyperlink r:id="rId35" ref="C16"/>
    <hyperlink r:id="rId36" location="/detail/282" ref="C17"/>
    <hyperlink r:id="rId37" ref="D17"/>
    <hyperlink r:id="rId38" location="/detail/282" ref="E17"/>
    <hyperlink r:id="rId39" ref="K17"/>
    <hyperlink r:id="rId40" ref="L17"/>
    <hyperlink r:id="rId41" ref="M17"/>
    <hyperlink r:id="rId42" ref="C18"/>
    <hyperlink r:id="rId43" ref="C19"/>
    <hyperlink r:id="rId44" ref="C20"/>
    <hyperlink r:id="rId45" ref="D20"/>
    <hyperlink r:id="rId46" ref="G20"/>
    <hyperlink r:id="rId47" ref="C21"/>
    <hyperlink r:id="rId48" ref="D21"/>
    <hyperlink r:id="rId49" ref="C22"/>
    <hyperlink r:id="rId50" ref="D22"/>
    <hyperlink r:id="rId51" ref="C23"/>
    <hyperlink r:id="rId52" ref="D23"/>
    <hyperlink r:id="rId53" ref="C24"/>
    <hyperlink r:id="rId54" ref="D24"/>
    <hyperlink r:id="rId55" ref="C25"/>
    <hyperlink r:id="rId56" ref="D25"/>
    <hyperlink r:id="rId57" ref="C26"/>
    <hyperlink r:id="rId58" ref="D26"/>
    <hyperlink r:id="rId59" ref="C27"/>
    <hyperlink r:id="rId60" ref="D27"/>
    <hyperlink r:id="rId61" ref="C28"/>
    <hyperlink r:id="rId62" ref="D28"/>
    <hyperlink r:id="rId63" ref="C29"/>
    <hyperlink r:id="rId64" ref="D29"/>
    <hyperlink r:id="rId65" ref="C30"/>
    <hyperlink r:id="rId66" ref="D30"/>
    <hyperlink r:id="rId67" ref="C31"/>
    <hyperlink r:id="rId68" ref="D31"/>
    <hyperlink r:id="rId69" ref="C32"/>
    <hyperlink r:id="rId70" ref="D32"/>
    <hyperlink r:id="rId71" ref="C33"/>
    <hyperlink r:id="rId72" ref="D33"/>
    <hyperlink r:id="rId73" ref="C34"/>
    <hyperlink r:id="rId74" ref="D34"/>
    <hyperlink r:id="rId75" ref="C35"/>
    <hyperlink r:id="rId76" ref="D35"/>
    <hyperlink r:id="rId77" ref="C36"/>
    <hyperlink r:id="rId78" ref="D36"/>
    <hyperlink r:id="rId79" ref="C37"/>
    <hyperlink r:id="rId80" ref="D37"/>
    <hyperlink r:id="rId81" ref="C38"/>
    <hyperlink r:id="rId82" ref="C39"/>
    <hyperlink r:id="rId83" ref="C40"/>
    <hyperlink r:id="rId84" ref="C41"/>
    <hyperlink r:id="rId85" ref="H41"/>
    <hyperlink r:id="rId86" ref="I41"/>
    <hyperlink r:id="rId87" ref="J41"/>
    <hyperlink r:id="rId88" ref="C42"/>
    <hyperlink r:id="rId89" ref="H42"/>
    <hyperlink r:id="rId90" ref="I42"/>
    <hyperlink r:id="rId91" ref="J42"/>
    <hyperlink r:id="rId92" ref="C43"/>
    <hyperlink r:id="rId93" ref="H43"/>
    <hyperlink r:id="rId94" ref="I43"/>
    <hyperlink r:id="rId95" ref="J43"/>
    <hyperlink r:id="rId96" ref="C44"/>
    <hyperlink r:id="rId97" ref="D44"/>
    <hyperlink r:id="rId98" ref="C45"/>
    <hyperlink r:id="rId99" ref="D45"/>
    <hyperlink r:id="rId100" ref="C46"/>
    <hyperlink r:id="rId101" ref="D46"/>
    <hyperlink r:id="rId102" ref="E46"/>
    <hyperlink r:id="rId103" ref="C47"/>
    <hyperlink r:id="rId104" ref="C48"/>
    <hyperlink r:id="rId105" location="what-is-the-recommended-way-to-transfer-files-fromto-the-cluster" ref="G48"/>
    <hyperlink r:id="rId106" ref="C49"/>
    <hyperlink r:id="rId107" ref="C50"/>
    <hyperlink r:id="rId108" ref="C51"/>
    <hyperlink r:id="rId109" ref="C52"/>
    <hyperlink r:id="rId110" ref="C53"/>
    <hyperlink r:id="rId111" ref="C56"/>
    <hyperlink r:id="rId112" ref="E56"/>
    <hyperlink r:id="rId113" ref="C57"/>
    <hyperlink r:id="rId114" ref="C58"/>
    <hyperlink r:id="rId115" ref="C59"/>
    <hyperlink r:id="rId116" ref="C60"/>
    <hyperlink r:id="rId117" ref="C61"/>
    <hyperlink r:id="rId118" ref="C62"/>
    <hyperlink r:id="rId119" ref="C63"/>
    <hyperlink r:id="rId120" ref="C64"/>
    <hyperlink r:id="rId121" ref="C65"/>
    <hyperlink r:id="rId122" ref="C66"/>
    <hyperlink r:id="rId123" ref="D66"/>
    <hyperlink r:id="rId124" ref="C67"/>
    <hyperlink r:id="rId125" ref="C68"/>
    <hyperlink r:id="rId126" ref="C69"/>
    <hyperlink r:id="rId127" ref="C71"/>
    <hyperlink r:id="rId128" ref="C72"/>
    <hyperlink r:id="rId129" ref="C73"/>
    <hyperlink r:id="rId130" ref="C74"/>
    <hyperlink r:id="rId131" ref="E74"/>
    <hyperlink r:id="rId132" ref="C75"/>
    <hyperlink r:id="rId133" ref="C76"/>
    <hyperlink r:id="rId134" ref="C77"/>
    <hyperlink r:id="rId135" ref="D77"/>
    <hyperlink r:id="rId136" ref="C78"/>
    <hyperlink r:id="rId137" ref="D78"/>
    <hyperlink r:id="rId138" ref="C79"/>
    <hyperlink r:id="rId139" ref="D79"/>
    <hyperlink r:id="rId140" ref="C80"/>
    <hyperlink r:id="rId141" ref="D80"/>
    <hyperlink r:id="rId142" ref="C81"/>
    <hyperlink r:id="rId143" ref="D81"/>
    <hyperlink r:id="rId144" ref="C82"/>
    <hyperlink r:id="rId145" ref="D82"/>
    <hyperlink r:id="rId146" ref="C83"/>
    <hyperlink r:id="rId147" ref="D83"/>
    <hyperlink r:id="rId148" ref="C84"/>
    <hyperlink r:id="rId149" ref="D84"/>
    <hyperlink r:id="rId150" ref="C85"/>
    <hyperlink r:id="rId151" ref="D85"/>
    <hyperlink r:id="rId152" ref="C86"/>
    <hyperlink r:id="rId153" ref="D86"/>
    <hyperlink r:id="rId154" ref="C87"/>
    <hyperlink r:id="rId155" ref="D87"/>
    <hyperlink r:id="rId156" ref="C88"/>
    <hyperlink r:id="rId157" ref="D88"/>
    <hyperlink r:id="rId158" ref="C89"/>
    <hyperlink r:id="rId159" ref="D89"/>
    <hyperlink r:id="rId160" ref="C90"/>
    <hyperlink r:id="rId161" ref="D90"/>
    <hyperlink r:id="rId162" ref="C91"/>
    <hyperlink r:id="rId163" ref="D91"/>
    <hyperlink r:id="rId164" ref="C92"/>
    <hyperlink r:id="rId165" ref="D92"/>
    <hyperlink r:id="rId166" ref="C93"/>
    <hyperlink r:id="rId167" ref="D93"/>
    <hyperlink r:id="rId168" ref="C94"/>
    <hyperlink r:id="rId169" ref="D94"/>
    <hyperlink r:id="rId170" ref="C95"/>
    <hyperlink r:id="rId171" ref="D95"/>
    <hyperlink r:id="rId172" ref="C96"/>
    <hyperlink r:id="rId173" ref="C97"/>
    <hyperlink r:id="rId174" ref="E97"/>
    <hyperlink r:id="rId175" ref="C98"/>
    <hyperlink r:id="rId176" ref="C99"/>
    <hyperlink r:id="rId177" ref="C100"/>
    <hyperlink r:id="rId178" ref="H100"/>
    <hyperlink r:id="rId179" ref="I100"/>
    <hyperlink r:id="rId180" ref="J100"/>
    <hyperlink r:id="rId181" ref="C101"/>
    <hyperlink r:id="rId182" ref="E101"/>
    <hyperlink r:id="rId183" ref="C102"/>
    <hyperlink r:id="rId184" ref="C103"/>
    <hyperlink r:id="rId185" ref="C104"/>
    <hyperlink r:id="rId186" ref="C105"/>
    <hyperlink r:id="rId187" ref="D105"/>
    <hyperlink r:id="rId188" ref="C106"/>
    <hyperlink r:id="rId189" ref="C107"/>
    <hyperlink r:id="rId190" ref="C108"/>
  </hyperlinks>
  <drawing r:id="rId191"/>
  <legacyDrawing r:id="rId192"/>
  <tableParts count="1">
    <tablePart r:id="rId19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314</v>
      </c>
      <c r="B1" s="24" t="s">
        <v>315</v>
      </c>
      <c r="C1" s="24" t="s">
        <v>316</v>
      </c>
      <c r="D1" s="24" t="s">
        <v>317</v>
      </c>
      <c r="E1" s="24" t="s">
        <v>318</v>
      </c>
      <c r="F1" s="24" t="s">
        <v>319</v>
      </c>
      <c r="G1" s="24" t="s">
        <v>320</v>
      </c>
      <c r="H1" s="24" t="s">
        <v>321</v>
      </c>
    </row>
    <row r="2">
      <c r="A2" s="24" t="s">
        <v>322</v>
      </c>
      <c r="B2" s="24" t="s">
        <v>323</v>
      </c>
      <c r="C2" s="24" t="s">
        <v>324</v>
      </c>
      <c r="D2" s="25" t="s">
        <v>325</v>
      </c>
      <c r="E2" s="24" t="s">
        <v>326</v>
      </c>
      <c r="F2" s="24" t="s">
        <v>326</v>
      </c>
      <c r="G2" s="24" t="s">
        <v>327</v>
      </c>
      <c r="H2" s="24" t="s">
        <v>328</v>
      </c>
    </row>
    <row r="3">
      <c r="A3" s="24" t="s">
        <v>329</v>
      </c>
      <c r="B3" s="24" t="s">
        <v>323</v>
      </c>
      <c r="C3" s="24" t="s">
        <v>324</v>
      </c>
      <c r="D3" s="25" t="s">
        <v>330</v>
      </c>
      <c r="E3" s="24" t="s">
        <v>326</v>
      </c>
      <c r="F3" s="24" t="s">
        <v>326</v>
      </c>
      <c r="G3" s="24" t="s">
        <v>331</v>
      </c>
      <c r="H3" s="24" t="s">
        <v>328</v>
      </c>
    </row>
    <row r="4">
      <c r="A4" s="24" t="s">
        <v>332</v>
      </c>
      <c r="B4" s="24" t="s">
        <v>323</v>
      </c>
      <c r="C4" s="24" t="s">
        <v>324</v>
      </c>
      <c r="D4" s="25" t="s">
        <v>333</v>
      </c>
      <c r="E4" s="24" t="s">
        <v>326</v>
      </c>
      <c r="F4" s="24" t="s">
        <v>326</v>
      </c>
      <c r="G4" s="24" t="s">
        <v>334</v>
      </c>
      <c r="H4" s="24" t="s">
        <v>335</v>
      </c>
    </row>
    <row r="5">
      <c r="A5" s="24" t="s">
        <v>336</v>
      </c>
      <c r="B5" s="24" t="s">
        <v>337</v>
      </c>
      <c r="C5" s="24" t="s">
        <v>338</v>
      </c>
      <c r="D5" s="25" t="s">
        <v>339</v>
      </c>
      <c r="E5" s="24" t="s">
        <v>340</v>
      </c>
      <c r="F5" s="24" t="s">
        <v>326</v>
      </c>
    </row>
    <row r="6">
      <c r="A6" s="24" t="s">
        <v>341</v>
      </c>
      <c r="B6" s="24" t="s">
        <v>337</v>
      </c>
      <c r="C6" s="24" t="s">
        <v>337</v>
      </c>
      <c r="D6" s="25" t="s">
        <v>342</v>
      </c>
      <c r="E6" s="24" t="s">
        <v>326</v>
      </c>
      <c r="F6" s="24" t="s">
        <v>340</v>
      </c>
    </row>
    <row r="7">
      <c r="A7" s="24" t="s">
        <v>341</v>
      </c>
      <c r="B7" s="24" t="s">
        <v>337</v>
      </c>
      <c r="C7" s="24" t="s">
        <v>337</v>
      </c>
      <c r="D7" s="25" t="s">
        <v>343</v>
      </c>
      <c r="E7" s="24" t="s">
        <v>340</v>
      </c>
      <c r="F7" s="24" t="s">
        <v>326</v>
      </c>
    </row>
  </sheetData>
  <hyperlinks>
    <hyperlink r:id="rId1" ref="D2"/>
    <hyperlink r:id="rId2" ref="D3"/>
    <hyperlink r:id="rId3" ref="D4"/>
    <hyperlink r:id="rId4" ref="D5"/>
    <hyperlink r:id="rId5" ref="D6"/>
    <hyperlink r:id="rId6" ref="D7"/>
  </hyperlinks>
  <drawing r:id="rId7"/>
</worksheet>
</file>